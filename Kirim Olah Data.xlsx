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uliy\Downloads\"/>
    </mc:Choice>
  </mc:AlternateContent>
  <xr:revisionPtr revIDLastSave="0" documentId="13_ncr:1_{677266CE-3069-435A-A31E-A1248FCDBE7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tata Sempro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h">#N/A</definedName>
    <definedName name="_\C">#REF!</definedName>
    <definedName name="_\h">#N/A</definedName>
    <definedName name="_\X">#REF!</definedName>
    <definedName name="__\C">#REF!</definedName>
    <definedName name="__\h">#N/A</definedName>
    <definedName name="__\X">#REF!</definedName>
    <definedName name="___\C">#REF!</definedName>
    <definedName name="___\h">#N/A</definedName>
    <definedName name="___\X">#REF!</definedName>
    <definedName name="____\h">#N/A</definedName>
    <definedName name="_____\h">#N/A</definedName>
    <definedName name="A">#REF!</definedName>
    <definedName name="aa">#REF!</definedName>
    <definedName name="aaa">#REF!</definedName>
    <definedName name="aaaaa">#REF!</definedName>
    <definedName name="aaaaaaa">#REF!</definedName>
    <definedName name="ab">#REF!</definedName>
    <definedName name="ALLOCATION">#REF!</definedName>
    <definedName name="b">#REF!</definedName>
    <definedName name="Badan">#REF!</definedName>
    <definedName name="bodenk">#REF!</definedName>
    <definedName name="Calculated_Relationship_HS12___HS07">#REF!</definedName>
    <definedName name="conf_status_code">#REF!</definedName>
    <definedName name="Corps">#REF!</definedName>
    <definedName name="_xlnm.Criteria">#REF!</definedName>
    <definedName name="cwww10">#REF!</definedName>
    <definedName name="d">#REF!</definedName>
    <definedName name="data_perusahaan">#REF!</definedName>
    <definedName name="datab">#REF!</definedName>
    <definedName name="_xlnm.Database">#REF!</definedName>
    <definedName name="dfghjk">#REF!</definedName>
    <definedName name="e">#REF!</definedName>
    <definedName name="f">#REF!</definedName>
    <definedName name="fd_rilis_1">[1]PDB!$E$81:$E$83,[1]PDB!$E$86,[1]PDB!$E$87,[1]PDB!$E$88,[1]PDB!$E$91</definedName>
    <definedName name="fd_rilis_2">[1]PDB!$G$81:$G$83,[1]PDB!$G$86,[1]PDB!$G$87,[1]PDB!$G$88,[1]PDB!$G$91</definedName>
    <definedName name="fd_sut_1">[1]PDB!$F$81:$F$83,[1]PDB!$F$86,[1]PDB!$F$87,[1]PDB!$F$88,[1]PDB!$F$91</definedName>
    <definedName name="fd_sut_2">[1]PDB!$H$81:$H$83,[1]PDB!$H$86,[1]PDB!$H$87,[1]PDB!$H$88,[1]PDB!$H$91</definedName>
    <definedName name="fd_sut_2010">[1]PDB!$D$81:$D$83,[1]PDB!$D$86,[1]PDB!$D$87,[1]PDB!$D$88,[1]PDB!$D$91</definedName>
    <definedName name="fg">#REF!</definedName>
    <definedName name="g">#REF!</definedName>
    <definedName name="gg">#REF!</definedName>
    <definedName name="H">#N/A</definedName>
    <definedName name="HH">[2]BOBOT!$A$7:$F$36</definedName>
    <definedName name="hhh">#REF!</definedName>
    <definedName name="hidayat">#REF!</definedName>
    <definedName name="HS">#REF!</definedName>
    <definedName name="IDP_IDK">#REF!</definedName>
    <definedName name="input11">#REF!</definedName>
    <definedName name="input12">#REF!</definedName>
    <definedName name="input12a">#REF!</definedName>
    <definedName name="jk">#REF!</definedName>
    <definedName name="k">#REF!</definedName>
    <definedName name="kat_2010">[1]PDB!$D$10,[1]PDB!$D$19,[1]PDB!$D$24,[1]PDB!$D$42,[1]PDB!$D$45:$D$47,[1]PDB!$D$50,[1]PDB!$D$57,[1]PDB!$D$60:$D$61,[1]PDB!$D$66:$D$71</definedName>
    <definedName name="kat_rilis_1">[1]PDB!$E$10,[1]PDB!$E$19,[1]PDB!$E$24,[1]PDB!$E$42,[1]PDB!$E$45:$E$47,[1]PDB!$E$50,[1]PDB!$E$57,[1]PDB!$E$60:$E$61,[1]PDB!$E$66:$E$71</definedName>
    <definedName name="kat_rilis_2">[1]PDB!$G$10,[1]PDB!$G$19,[1]PDB!$G$24,[1]PDB!$G$42,[1]PDB!$G$45:$G$47,[1]PDB!$G$50,[1]PDB!$G$57,[1]PDB!$G$60:$G$61,[1]PDB!$G$66:$G$71</definedName>
    <definedName name="kat_sut_1">[1]PDB!$F$10,[1]PDB!$F$19,[1]PDB!$F$24,[1]PDB!$F$42,[1]PDB!$F$45:$F$47,[1]PDB!$F$50,[1]PDB!$F$57,[1]PDB!$F$60:$F$61,[1]PDB!$F$66:$F$71</definedName>
    <definedName name="kat_sut_2">[1]PDB!$H$10,[1]PDB!$H$19,[1]PDB!$H$24,[1]PDB!$H$42,[1]PDB!$H$45:$H$47,[1]PDB!$H$50,[1]PDB!$H$57,[1]PDB!$H$60:$H$61,[1]PDB!$H$66:$H$71</definedName>
    <definedName name="Kategori">[3]Sheet1!$U$2:$U$22</definedName>
    <definedName name="kode_perusahaan">#REF!</definedName>
    <definedName name="Lapangan_Usaha">#REF!</definedName>
    <definedName name="marcel">#REF!</definedName>
    <definedName name="my">#REF!</definedName>
    <definedName name="myrange1">#REF!</definedName>
    <definedName name="Nama_KabKota">[4]Sheet2!$F$2:$F$41</definedName>
    <definedName name="Nama_Provinsi">[4]Sheet2!$A$2:$A$35</definedName>
    <definedName name="NamaTabel">OFFSET(INDIRECT("S3R!$"&amp;[5]S2LP!$G$2&amp;"$6"),0,0,1,[5]S2LP!$G$1)</definedName>
    <definedName name="NamaTabelImplisit">OFFSET(INDIRECT("S3R!$"&amp;#REF!&amp;"$6"),0,0,1,#REF!)</definedName>
    <definedName name="obs_status_code">#REF!</definedName>
    <definedName name="_xlnm.Print_Area">'[6]02'!$B$1:$F$56</definedName>
    <definedName name="PRINT_AREA_MI">'[7]rekap laju'!$B$1:$F$56</definedName>
    <definedName name="Propinsi">#REF!</definedName>
    <definedName name="range11">#REF!</definedName>
    <definedName name="range12a">#REF!</definedName>
    <definedName name="range41">#REF!</definedName>
    <definedName name="REDISTRIBUTION">#REF!</definedName>
    <definedName name="result11">#REF!</definedName>
    <definedName name="result12">#REF!</definedName>
    <definedName name="result12a">#REF!</definedName>
    <definedName name="rilis_1">[1]PDB!$E$12:$E$18,[1]PDB!$E$20:$E$23,[1]PDB!$E$25,[1]PDB!$E$27:$E$41,[1]PDB!$E$43:$E$44,[1]PDB!$E$45:$E$46,[1]PDB!$E$48:$E$49,[1]PDB!$E$51:$E$56,[1]PDB!$E$58:$E$60,[1]PDB!$E$62:$E$65,[1]PDB!$E$66:$E$71</definedName>
    <definedName name="rilis_2">[1]PDB!$G$12:$G$18,[1]PDB!$G$20:$G$23,[1]PDB!$G$25,[1]PDB!$G$27:$G$41,[1]PDB!$G$43:$G$44,[1]PDB!$G$45:$G$46,[1]PDB!$G$48:$G$49,[1]PDB!$G$51:$G$56,[1]PDB!$G$58:$G$60,[1]PDB!$G$62:$G$65,[1]PDB!$G$66:$G$71</definedName>
    <definedName name="rrrrr">#REF!</definedName>
    <definedName name="SECONDARY">#REF!</definedName>
    <definedName name="sekarang">#REF!</definedName>
    <definedName name="Sektor">#REF!</definedName>
    <definedName name="SUT">#REF!</definedName>
    <definedName name="sut_1">[1]PDB!$F$12:$F$18,[1]PDB!$F$20:$F$23,[1]PDB!$F$25,[1]PDB!$F$27:$F$41,[1]PDB!$F$43:$F$44,[1]PDB!$F$45:$F$46,[1]PDB!$F$48:$F$49,[1]PDB!$F$51:$F$56,[1]PDB!$F$58:$F$60,[1]PDB!$F$62:$F$65,[1]PDB!$F$66:$F$71</definedName>
    <definedName name="sut_2">[1]PDB!$H$12:$H$18,[1]PDB!$H$20:$H$23,[1]PDB!$H$25,[1]PDB!$H$27:$H$41,[1]PDB!$H$43:$H$44,[1]PDB!$H$45:$H$46,[1]PDB!$H$48:$H$49,[1]PDB!$H$51:$H$56,[1]PDB!$H$58:$H$60,[1]PDB!$H$62:$H$65,[1]PDB!$H$66:$H$71</definedName>
    <definedName name="sut_2010">[1]PDB!$D$12:$D$18,[1]PDB!$D$20:$D$23,[1]PDB!$D$25,[1]PDB!$D$27:$D$41,[1]PDB!$D$43:$D$44,[1]PDB!$D$45:$D$46,[1]PDB!$D$48:$D$49,[1]PDB!$D$51:$D$56,[1]PDB!$D$58:$D$60,[1]PDB!$D$62:$D$65,[1]PDB!$D$66:$D$71</definedName>
    <definedName name="SYNOPTIC">#REF!</definedName>
    <definedName name="Tabel">OFFSET(INDIRECT("S3R!$"&amp;[5]S2LP!$G$2&amp;"$"&amp;[5]S2LP!$H$1),0,0,1,[5]S2LP!$G$1)</definedName>
    <definedName name="tabel_perusahaan">#REF!</definedName>
    <definedName name="TabelImplisit">OFFSET(INDIRECT("S3R!$"&amp;#REF!&amp;"$"&amp;#REF!),0,0,1,#REF!)</definedName>
    <definedName name="TabelKab">OFFSET(INDIRECT("S3R!$"&amp;[5]S2LP!$G$2&amp;"$"&amp;[5]S2LP!$H$2),0,0,1,[5]S2LP!$G$1)</definedName>
    <definedName name="TabelKabImplisit">OFFSET(INDIRECT("S3R!$"&amp;#REF!&amp;"$"&amp;#REF!),0,0,1,#REF!)</definedName>
    <definedName name="TabelKabTotal">OFFSET(INDIRECT("S3R!$"&amp;[5]S2LP!$G$2&amp;"$192"),0,0,1,[5]S2LP!$G$1)</definedName>
    <definedName name="TabelKabTotalImplisit">OFFSET(INDIRECT("S3R!$"&amp;#REF!&amp;"$293"),0,0,1,#REF!)</definedName>
    <definedName name="TabelTotal">OFFSET(INDIRECT("S3R!$"&amp;[5]S2LP!$G$2&amp;"$191"),0,0,1,[5]S2LP!$G$1)</definedName>
    <definedName name="TabelTotalImplisit">OFFSET(INDIRECT("S3R!$"&amp;#REF!&amp;"$292"),0,0,1,#REF!)</definedName>
    <definedName name="Tahun">[3]Sheet1!$A$2:$A$18</definedName>
    <definedName name="test1">#REF!</definedName>
    <definedName name="test11">#REF!</definedName>
    <definedName name="test12">#REF!</definedName>
    <definedName name="test3">#REF!</definedName>
    <definedName name="test31">#REF!</definedName>
    <definedName name="test32">#REF!</definedName>
    <definedName name="test42">#REF!</definedName>
    <definedName name="test43">#REF!</definedName>
    <definedName name="test43a">#REF!</definedName>
    <definedName name="test44">#REF!</definedName>
    <definedName name="test45">#REF!</definedName>
    <definedName name="u">#REF!</definedName>
    <definedName name="UMB_E2_KOR_MDL">#REF!</definedName>
    <definedName name="w">#REF!</definedName>
    <definedName name="wot">[8]TAB6_1!$O$2:$O$2</definedName>
    <definedName name="X">#REF!</definedName>
    <definedName name="xxx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6" l="1"/>
  <c r="M3" i="6"/>
  <c r="L4" i="6"/>
  <c r="M4" i="6"/>
  <c r="L5" i="6"/>
  <c r="M5" i="6"/>
  <c r="L6" i="6"/>
  <c r="M6" i="6"/>
  <c r="L7" i="6"/>
  <c r="M7" i="6"/>
  <c r="L8" i="6"/>
  <c r="M8" i="6"/>
  <c r="L9" i="6"/>
  <c r="M9" i="6"/>
  <c r="L10" i="6"/>
  <c r="M10" i="6"/>
  <c r="L11" i="6"/>
  <c r="M11" i="6"/>
  <c r="L12" i="6"/>
  <c r="L13" i="6"/>
  <c r="M13" i="6"/>
  <c r="L14" i="6"/>
  <c r="M14" i="6"/>
  <c r="L15" i="6"/>
  <c r="M15" i="6"/>
  <c r="L16" i="6"/>
  <c r="M16" i="6"/>
  <c r="L17" i="6"/>
  <c r="M17" i="6"/>
  <c r="L18" i="6"/>
  <c r="M18" i="6"/>
  <c r="L19" i="6"/>
  <c r="M19" i="6"/>
  <c r="L20" i="6"/>
  <c r="M20" i="6"/>
  <c r="L21" i="6"/>
  <c r="M21" i="6"/>
  <c r="L22" i="6"/>
  <c r="M22" i="6"/>
  <c r="L23" i="6"/>
  <c r="M23" i="6"/>
  <c r="L24" i="6"/>
  <c r="M24" i="6"/>
  <c r="L25" i="6"/>
  <c r="M25" i="6"/>
  <c r="L26" i="6"/>
  <c r="M26" i="6"/>
  <c r="L27" i="6"/>
  <c r="M27" i="6"/>
  <c r="L28" i="6"/>
  <c r="M28" i="6"/>
  <c r="L29" i="6"/>
  <c r="M29" i="6"/>
  <c r="L30" i="6"/>
  <c r="M30" i="6"/>
  <c r="L31" i="6"/>
  <c r="M31" i="6"/>
  <c r="M32" i="6"/>
  <c r="L33" i="6"/>
  <c r="M33" i="6"/>
  <c r="L34" i="6"/>
  <c r="M34" i="6"/>
  <c r="L35" i="6"/>
  <c r="M35" i="6"/>
  <c r="L36" i="6"/>
  <c r="M36" i="6"/>
  <c r="M37" i="6"/>
  <c r="L38" i="6"/>
  <c r="M38" i="6"/>
  <c r="L39" i="6"/>
  <c r="M39" i="6"/>
  <c r="L40" i="6"/>
  <c r="M40" i="6"/>
  <c r="L41" i="6"/>
  <c r="M41" i="6"/>
  <c r="M42" i="6"/>
  <c r="L43" i="6"/>
  <c r="M43" i="6"/>
  <c r="L44" i="6"/>
  <c r="M44" i="6"/>
  <c r="L45" i="6"/>
  <c r="M45" i="6"/>
  <c r="L46" i="6"/>
  <c r="M46" i="6"/>
  <c r="L47" i="6"/>
  <c r="M47" i="6"/>
  <c r="L48" i="6"/>
  <c r="M48" i="6"/>
  <c r="L49" i="6"/>
  <c r="M49" i="6"/>
  <c r="L50" i="6"/>
  <c r="M50" i="6"/>
  <c r="L51" i="6"/>
  <c r="M51" i="6"/>
  <c r="M52" i="6"/>
  <c r="L53" i="6"/>
  <c r="M53" i="6"/>
  <c r="L54" i="6"/>
  <c r="M54" i="6"/>
  <c r="L55" i="6"/>
  <c r="M55" i="6"/>
  <c r="L56" i="6"/>
  <c r="M56" i="6"/>
  <c r="M57" i="6"/>
  <c r="L58" i="6"/>
  <c r="M58" i="6"/>
  <c r="L59" i="6"/>
  <c r="M59" i="6"/>
  <c r="L60" i="6"/>
  <c r="M60" i="6"/>
  <c r="L61" i="6"/>
  <c r="M61" i="6"/>
  <c r="M62" i="6"/>
  <c r="L63" i="6"/>
  <c r="M63" i="6"/>
  <c r="L64" i="6"/>
  <c r="M64" i="6"/>
  <c r="L65" i="6"/>
  <c r="M65" i="6"/>
  <c r="L66" i="6"/>
  <c r="M66" i="6"/>
  <c r="M67" i="6"/>
  <c r="L68" i="6"/>
  <c r="M68" i="6"/>
  <c r="L69" i="6"/>
  <c r="M69" i="6"/>
  <c r="L70" i="6"/>
  <c r="M70" i="6"/>
  <c r="L71" i="6"/>
  <c r="M71" i="6"/>
  <c r="M72" i="6"/>
  <c r="L73" i="6"/>
  <c r="M73" i="6"/>
  <c r="L74" i="6"/>
  <c r="M74" i="6"/>
  <c r="L75" i="6"/>
  <c r="M75" i="6"/>
  <c r="L76" i="6"/>
  <c r="M76" i="6"/>
  <c r="M77" i="6"/>
  <c r="L78" i="6"/>
  <c r="M78" i="6"/>
  <c r="L79" i="6"/>
  <c r="M79" i="6"/>
  <c r="L80" i="6"/>
  <c r="M80" i="6"/>
  <c r="L81" i="6"/>
  <c r="M81" i="6"/>
  <c r="M82" i="6"/>
  <c r="L83" i="6"/>
  <c r="M83" i="6"/>
  <c r="L84" i="6"/>
  <c r="M84" i="6"/>
  <c r="L85" i="6"/>
  <c r="M85" i="6"/>
  <c r="L86" i="6"/>
  <c r="M86" i="6"/>
  <c r="M2" i="6"/>
  <c r="G12" i="6"/>
  <c r="M12" i="6" s="1"/>
  <c r="I3" i="6" l="1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J2" i="6"/>
  <c r="L2" i="6"/>
  <c r="I2" i="6"/>
  <c r="F82" i="6" l="1"/>
  <c r="L82" i="6" s="1"/>
  <c r="F77" i="6"/>
  <c r="L77" i="6" s="1"/>
  <c r="F72" i="6"/>
  <c r="L72" i="6" s="1"/>
  <c r="F67" i="6"/>
  <c r="L67" i="6" s="1"/>
  <c r="F62" i="6"/>
  <c r="L62" i="6" s="1"/>
  <c r="F57" i="6"/>
  <c r="L57" i="6" s="1"/>
  <c r="F52" i="6"/>
  <c r="L52" i="6" s="1"/>
  <c r="F42" i="6"/>
  <c r="L42" i="6" s="1"/>
  <c r="F37" i="6"/>
  <c r="L37" i="6" s="1"/>
  <c r="F32" i="6"/>
  <c r="L32" i="6" s="1"/>
  <c r="E83" i="6"/>
  <c r="K83" i="6" s="1"/>
  <c r="E82" i="6"/>
  <c r="K82" i="6" s="1"/>
  <c r="E78" i="6"/>
  <c r="K78" i="6" s="1"/>
  <c r="E77" i="6"/>
  <c r="K77" i="6" s="1"/>
  <c r="E73" i="6"/>
  <c r="K73" i="6" s="1"/>
  <c r="E72" i="6"/>
  <c r="K72" i="6" s="1"/>
  <c r="E68" i="6"/>
  <c r="K68" i="6" s="1"/>
  <c r="E67" i="6"/>
  <c r="K67" i="6" s="1"/>
  <c r="E63" i="6"/>
  <c r="K63" i="6" s="1"/>
  <c r="E62" i="6"/>
  <c r="K62" i="6" s="1"/>
  <c r="E58" i="6"/>
  <c r="K58" i="6" s="1"/>
  <c r="E57" i="6"/>
  <c r="K57" i="6" s="1"/>
  <c r="E53" i="6"/>
  <c r="K53" i="6" s="1"/>
  <c r="E52" i="6"/>
  <c r="K52" i="6" s="1"/>
  <c r="E48" i="6"/>
  <c r="K48" i="6" s="1"/>
  <c r="E47" i="6"/>
  <c r="K47" i="6" s="1"/>
  <c r="E43" i="6"/>
  <c r="K43" i="6" s="1"/>
  <c r="E42" i="6"/>
  <c r="K42" i="6" s="1"/>
  <c r="E38" i="6"/>
  <c r="K38" i="6" s="1"/>
  <c r="E37" i="6"/>
  <c r="K37" i="6" s="1"/>
  <c r="E33" i="6"/>
  <c r="K33" i="6" s="1"/>
  <c r="E32" i="6"/>
  <c r="K32" i="6" s="1"/>
  <c r="E28" i="6"/>
  <c r="K28" i="6" s="1"/>
  <c r="E27" i="6"/>
  <c r="K27" i="6" s="1"/>
  <c r="E23" i="6"/>
  <c r="K23" i="6" s="1"/>
  <c r="E22" i="6"/>
  <c r="K22" i="6" s="1"/>
  <c r="E18" i="6"/>
  <c r="K18" i="6" s="1"/>
  <c r="E17" i="6"/>
  <c r="K17" i="6" s="1"/>
  <c r="E13" i="6"/>
  <c r="K13" i="6" s="1"/>
  <c r="E12" i="6"/>
  <c r="K12" i="6" s="1"/>
  <c r="E8" i="6"/>
  <c r="K8" i="6" s="1"/>
  <c r="E7" i="6"/>
  <c r="K7" i="6" s="1"/>
  <c r="E3" i="6"/>
  <c r="K3" i="6" s="1"/>
  <c r="E2" i="6"/>
  <c r="K2" i="6" s="1"/>
  <c r="E4" i="6"/>
  <c r="K4" i="6" s="1"/>
  <c r="E86" i="6" l="1"/>
  <c r="K86" i="6" s="1"/>
  <c r="E81" i="6"/>
  <c r="K81" i="6" s="1"/>
  <c r="E76" i="6"/>
  <c r="K76" i="6" s="1"/>
  <c r="E71" i="6"/>
  <c r="K71" i="6" s="1"/>
  <c r="E66" i="6"/>
  <c r="K66" i="6" s="1"/>
  <c r="E61" i="6"/>
  <c r="K61" i="6" s="1"/>
  <c r="E56" i="6"/>
  <c r="K56" i="6" s="1"/>
  <c r="E51" i="6"/>
  <c r="K51" i="6" s="1"/>
  <c r="E46" i="6"/>
  <c r="K46" i="6" s="1"/>
  <c r="E41" i="6"/>
  <c r="K41" i="6" s="1"/>
  <c r="E36" i="6"/>
  <c r="K36" i="6" s="1"/>
  <c r="E31" i="6"/>
  <c r="K31" i="6" s="1"/>
  <c r="E26" i="6"/>
  <c r="K26" i="6" s="1"/>
  <c r="E21" i="6"/>
  <c r="K21" i="6" s="1"/>
  <c r="E16" i="6"/>
  <c r="K16" i="6" s="1"/>
  <c r="E11" i="6"/>
  <c r="K11" i="6" s="1"/>
  <c r="E6" i="6"/>
  <c r="K6" i="6" s="1"/>
  <c r="E85" i="6" l="1"/>
  <c r="K85" i="6" s="1"/>
  <c r="E80" i="6"/>
  <c r="K80" i="6" s="1"/>
  <c r="E75" i="6"/>
  <c r="K75" i="6" s="1"/>
  <c r="E70" i="6"/>
  <c r="K70" i="6" s="1"/>
  <c r="E65" i="6"/>
  <c r="K65" i="6" s="1"/>
  <c r="E60" i="6"/>
  <c r="K60" i="6" s="1"/>
  <c r="E55" i="6"/>
  <c r="K55" i="6" s="1"/>
  <c r="E50" i="6"/>
  <c r="K50" i="6" s="1"/>
  <c r="E45" i="6"/>
  <c r="K45" i="6" s="1"/>
  <c r="E40" i="6"/>
  <c r="K40" i="6" s="1"/>
  <c r="E35" i="6"/>
  <c r="K35" i="6" s="1"/>
  <c r="E30" i="6"/>
  <c r="K30" i="6" s="1"/>
  <c r="E25" i="6"/>
  <c r="K25" i="6" s="1"/>
  <c r="E20" i="6"/>
  <c r="K20" i="6" s="1"/>
  <c r="E15" i="6"/>
  <c r="K15" i="6" s="1"/>
  <c r="E10" i="6"/>
  <c r="K10" i="6" s="1"/>
  <c r="E5" i="6"/>
  <c r="K5" i="6" s="1"/>
  <c r="E84" i="6"/>
  <c r="K84" i="6" s="1"/>
  <c r="E79" i="6"/>
  <c r="K79" i="6" s="1"/>
  <c r="E74" i="6"/>
  <c r="K74" i="6" s="1"/>
  <c r="E69" i="6"/>
  <c r="K69" i="6" s="1"/>
  <c r="E64" i="6"/>
  <c r="K64" i="6" s="1"/>
  <c r="E59" i="6"/>
  <c r="K59" i="6" s="1"/>
  <c r="E54" i="6"/>
  <c r="K54" i="6" s="1"/>
  <c r="E49" i="6"/>
  <c r="K49" i="6" s="1"/>
  <c r="E44" i="6"/>
  <c r="K44" i="6" s="1"/>
  <c r="E39" i="6"/>
  <c r="K39" i="6" s="1"/>
  <c r="E34" i="6"/>
  <c r="K34" i="6" s="1"/>
  <c r="E29" i="6"/>
  <c r="K29" i="6" s="1"/>
  <c r="E24" i="6"/>
  <c r="K24" i="6" s="1"/>
  <c r="E19" i="6"/>
  <c r="K19" i="6" s="1"/>
  <c r="E14" i="6"/>
  <c r="K14" i="6" s="1"/>
  <c r="E9" i="6"/>
  <c r="K9" i="6" s="1"/>
</calcChain>
</file>

<file path=xl/sharedStrings.xml><?xml version="1.0" encoding="utf-8"?>
<sst xmlns="http://schemas.openxmlformats.org/spreadsheetml/2006/main" count="97" uniqueCount="29">
  <si>
    <t>kapanewon</t>
  </si>
  <si>
    <t>tahun</t>
  </si>
  <si>
    <t>luas_lahan</t>
  </si>
  <si>
    <t>prod_padi</t>
  </si>
  <si>
    <t>pupuk_npk</t>
  </si>
  <si>
    <t>tenaga_kerja</t>
  </si>
  <si>
    <t>benih</t>
  </si>
  <si>
    <t>ln_prod</t>
  </si>
  <si>
    <t>ln_lahan</t>
  </si>
  <si>
    <t>ln_tk</t>
  </si>
  <si>
    <t>ln_benih</t>
  </si>
  <si>
    <t>ln_pupuk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</si>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</sst>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2" fillId="0" borderId="0" xfId="1" applyFont="1"/>
    <xf numFmtId="43" fontId="2" fillId="0" borderId="0" xfId="1" applyNumberFormat="1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3" fillId="0" borderId="0" xfId="1" applyFont="1"/>
    <xf numFmtId="0" fontId="3" fillId="0" borderId="0" xfId="0" applyFont="1"/>
    <xf numFmtId="165" fontId="3" fillId="0" borderId="0" xfId="1" applyNumberFormat="1" applyFont="1"/>
    <xf numFmtId="164" fontId="4" fillId="2" borderId="0" xfId="1" applyFont="1" applyFill="1" applyAlignment="1">
      <alignment horizontal="center" vertical="center" wrapText="1"/>
    </xf>
    <xf numFmtId="165" fontId="4" fillId="2" borderId="0" xfId="1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3" fillId="3" borderId="0" xfId="1" applyFont="1" applyFill="1"/>
    <xf numFmtId="165" fontId="3" fillId="3" borderId="0" xfId="1" applyNumberFormat="1" applyFont="1" applyFill="1"/>
    <xf numFmtId="0" fontId="3" fillId="3" borderId="0" xfId="0" applyFont="1" applyFill="1"/>
    <xf numFmtId="164" fontId="2" fillId="0" borderId="0" xfId="1" applyFont="1" applyFill="1"/>
    <xf numFmtId="164" fontId="3" fillId="0" borderId="0" xfId="1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164" fontId="2" fillId="0" borderId="0" xfId="1" applyFont="1" applyFill="1" applyBorder="1" applyAlignment="1" applyProtection="1"/>
    <xf numFmtId="164" fontId="2" fillId="0" borderId="0" xfId="1" applyFont="1" applyFill="1" applyAlignment="1">
      <alignment horizontal="center" vertical="center"/>
    </xf>
    <xf numFmtId="164" fontId="2" fillId="0" borderId="0" xfId="1" applyFont="1" applyFill="1" applyAlignment="1">
      <alignment horizontal="right" vertic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D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BO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2LP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2.Pesisir%20Selatan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kap%20laju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6_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B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BO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LP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laju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6_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88"/>
  <sheetViews>
    <sheetView tabSelected="1" zoomScale="110" zoomScaleNormal="110" workbookViewId="0">
      <selection activeCell="J13" sqref="J13"/>
    </sheetView>
  </sheetViews>
  <sheetFormatPr defaultColWidth="9.1328125" defaultRowHeight="14.25" x14ac:dyDescent="0.45"/>
  <cols>
    <col min="1" max="1" width="9.1328125" style="17" customWidth="1"/>
    <col min="2" max="2" width="6.3984375" style="17" customWidth="1"/>
    <col min="3" max="3" width="11.265625" style="6" customWidth="1"/>
    <col min="4" max="4" width="9.265625" style="22" customWidth="1"/>
    <col min="5" max="5" width="9.59765625" style="7" customWidth="1"/>
    <col min="6" max="6" width="8.265625" style="5" customWidth="1"/>
    <col min="7" max="7" width="11" style="6" bestFit="1" customWidth="1"/>
    <col min="8" max="8" width="1.59765625" style="13" customWidth="1"/>
    <col min="9" max="9" width="12.265625" bestFit="1" customWidth="1"/>
    <col min="10" max="13" width="9.59765625" style="6" customWidth="1"/>
    <col min="14" max="16384" width="9.1328125" style="6"/>
  </cols>
  <sheetData>
    <row r="1" spans="1:13" s="3" customFormat="1" ht="54" customHeight="1" x14ac:dyDescent="0.45">
      <c r="A1" s="3" t="s">
        <v>0</v>
      </c>
      <c r="B1" s="3" t="s">
        <v>1</v>
      </c>
      <c r="C1" s="4" t="s">
        <v>3</v>
      </c>
      <c r="D1" s="18" t="s">
        <v>2</v>
      </c>
      <c r="E1" s="9" t="s">
        <v>5</v>
      </c>
      <c r="F1" s="8" t="s">
        <v>6</v>
      </c>
      <c r="G1" s="4" t="s">
        <v>4</v>
      </c>
      <c r="H1" s="10"/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45">
      <c r="A2" s="16" t="s">
        <v>12</v>
      </c>
      <c r="B2" s="16">
        <v>2020</v>
      </c>
      <c r="C2" s="1">
        <v>4815.03</v>
      </c>
      <c r="D2" s="19">
        <v>600</v>
      </c>
      <c r="E2" s="7">
        <f>168+129+3237+2959</f>
        <v>6493</v>
      </c>
      <c r="F2" s="5">
        <v>17.98</v>
      </c>
      <c r="G2" s="14">
        <v>261.42</v>
      </c>
      <c r="H2" s="11"/>
      <c r="I2">
        <f t="shared" ref="I2:I33" si="0">LN(C2)</f>
        <v>8.4794975547424105</v>
      </c>
      <c r="J2">
        <f t="shared" ref="J2:J33" si="1">LN(D2)</f>
        <v>6.3969296552161463</v>
      </c>
      <c r="K2">
        <f t="shared" ref="K2:K33" si="2">LN(E2)</f>
        <v>8.7784799525084871</v>
      </c>
      <c r="L2">
        <f t="shared" ref="L2:L33" si="3">LN(F2)</f>
        <v>2.8892600290434745</v>
      </c>
      <c r="M2">
        <f t="shared" ref="M2:M33" si="4">LN(G2)</f>
        <v>5.5661283093574054</v>
      </c>
    </row>
    <row r="3" spans="1:13" x14ac:dyDescent="0.45">
      <c r="A3" s="16" t="s">
        <v>12</v>
      </c>
      <c r="B3" s="16">
        <v>2021</v>
      </c>
      <c r="C3" s="1">
        <v>5115.4799999999996</v>
      </c>
      <c r="D3" s="20">
        <v>604.24</v>
      </c>
      <c r="E3" s="7">
        <f>167+131+3171+2908</f>
        <v>6377</v>
      </c>
      <c r="F3" s="5">
        <v>19.46</v>
      </c>
      <c r="G3" s="14">
        <v>250.58</v>
      </c>
      <c r="H3" s="11"/>
      <c r="I3">
        <f t="shared" si="0"/>
        <v>8.5400265156251045</v>
      </c>
      <c r="J3">
        <f t="shared" si="1"/>
        <v>6.4039714700051924</v>
      </c>
      <c r="K3">
        <f t="shared" si="2"/>
        <v>8.7604530463152717</v>
      </c>
      <c r="L3">
        <f t="shared" si="3"/>
        <v>2.968361076757859</v>
      </c>
      <c r="M3">
        <f t="shared" si="4"/>
        <v>5.523778230817407</v>
      </c>
    </row>
    <row r="4" spans="1:13" x14ac:dyDescent="0.45">
      <c r="A4" s="16" t="s">
        <v>12</v>
      </c>
      <c r="B4" s="16">
        <v>2022</v>
      </c>
      <c r="C4" s="1">
        <v>5117.38</v>
      </c>
      <c r="D4" s="20">
        <v>604</v>
      </c>
      <c r="E4" s="7">
        <f>167+131+3096+2839</f>
        <v>6233</v>
      </c>
      <c r="F4" s="5">
        <v>20.28</v>
      </c>
      <c r="G4" s="14">
        <v>230.87799999999999</v>
      </c>
      <c r="H4" s="11"/>
      <c r="I4">
        <f t="shared" si="0"/>
        <v>8.5403978683108317</v>
      </c>
      <c r="J4">
        <f t="shared" si="1"/>
        <v>6.4035741979348151</v>
      </c>
      <c r="K4">
        <f t="shared" si="2"/>
        <v>8.7376130368088507</v>
      </c>
      <c r="L4">
        <f t="shared" si="3"/>
        <v>3.0096351787229825</v>
      </c>
      <c r="M4">
        <f t="shared" si="4"/>
        <v>5.4418894324793783</v>
      </c>
    </row>
    <row r="5" spans="1:13" x14ac:dyDescent="0.45">
      <c r="A5" s="16" t="s">
        <v>12</v>
      </c>
      <c r="B5" s="16">
        <v>2023</v>
      </c>
      <c r="C5" s="1">
        <v>4811.99</v>
      </c>
      <c r="D5" s="21">
        <v>472.34</v>
      </c>
      <c r="E5" s="7">
        <f>170+129+3043+2794</f>
        <v>6136</v>
      </c>
      <c r="F5" s="5">
        <v>19.329999999999998</v>
      </c>
      <c r="G5" s="14">
        <v>182.60900000000001</v>
      </c>
      <c r="H5" s="11"/>
      <c r="I5">
        <f t="shared" si="0"/>
        <v>8.4788659989544222</v>
      </c>
      <c r="J5">
        <f t="shared" si="1"/>
        <v>6.1576990652490053</v>
      </c>
      <c r="K5">
        <f t="shared" si="2"/>
        <v>8.7219283430470913</v>
      </c>
      <c r="L5">
        <f t="shared" si="3"/>
        <v>2.9616582932202395</v>
      </c>
      <c r="M5">
        <f t="shared" si="4"/>
        <v>5.2073472550075879</v>
      </c>
    </row>
    <row r="6" spans="1:13" x14ac:dyDescent="0.45">
      <c r="A6" s="16" t="s">
        <v>12</v>
      </c>
      <c r="B6" s="16">
        <v>2024</v>
      </c>
      <c r="C6" s="2">
        <v>6202.66</v>
      </c>
      <c r="D6" s="21">
        <v>472.3</v>
      </c>
      <c r="E6" s="7">
        <f>170+127+2982+2758</f>
        <v>6037</v>
      </c>
      <c r="F6" s="5">
        <v>22.78</v>
      </c>
      <c r="G6" s="14">
        <v>345</v>
      </c>
      <c r="H6" s="11"/>
      <c r="I6">
        <f t="shared" si="0"/>
        <v>8.7327335112832234</v>
      </c>
      <c r="J6">
        <f t="shared" si="1"/>
        <v>6.157614376902071</v>
      </c>
      <c r="K6">
        <f t="shared" si="2"/>
        <v>8.7056624787964267</v>
      </c>
      <c r="L6">
        <f t="shared" si="3"/>
        <v>3.1258829580190359</v>
      </c>
      <c r="M6">
        <f t="shared" si="4"/>
        <v>5.8435444170313602</v>
      </c>
    </row>
    <row r="7" spans="1:13" x14ac:dyDescent="0.45">
      <c r="A7" s="16" t="s">
        <v>13</v>
      </c>
      <c r="B7" s="16">
        <v>2020</v>
      </c>
      <c r="C7" s="1">
        <v>10789.72</v>
      </c>
      <c r="D7" s="19">
        <v>1143</v>
      </c>
      <c r="E7" s="7">
        <f>618+566+2768+2692</f>
        <v>6644</v>
      </c>
      <c r="F7" s="5">
        <v>46.63</v>
      </c>
      <c r="G7" s="14">
        <v>791.61</v>
      </c>
      <c r="H7" s="11"/>
      <c r="I7">
        <f t="shared" si="0"/>
        <v>9.2863491079618132</v>
      </c>
      <c r="J7">
        <f t="shared" si="1"/>
        <v>7.0414116637948103</v>
      </c>
      <c r="K7">
        <f t="shared" si="2"/>
        <v>8.8014694707331849</v>
      </c>
      <c r="L7">
        <f t="shared" si="3"/>
        <v>3.8422441108202294</v>
      </c>
      <c r="M7">
        <f t="shared" si="4"/>
        <v>6.6740688462913687</v>
      </c>
    </row>
    <row r="8" spans="1:13" x14ac:dyDescent="0.45">
      <c r="A8" s="16" t="s">
        <v>13</v>
      </c>
      <c r="B8" s="16">
        <v>2021</v>
      </c>
      <c r="C8" s="1">
        <v>8789.7900000000009</v>
      </c>
      <c r="D8" s="20">
        <v>1041.3399999999999</v>
      </c>
      <c r="E8" s="7">
        <f>614+551+2698+2620</f>
        <v>6483</v>
      </c>
      <c r="F8" s="5">
        <v>37.979999999999997</v>
      </c>
      <c r="G8" s="14">
        <v>448.34</v>
      </c>
      <c r="H8" s="11"/>
      <c r="I8">
        <f t="shared" si="0"/>
        <v>9.0813460996088509</v>
      </c>
      <c r="J8">
        <f t="shared" si="1"/>
        <v>6.9482636243196296</v>
      </c>
      <c r="K8">
        <f t="shared" si="2"/>
        <v>8.7769386451749956</v>
      </c>
      <c r="L8">
        <f t="shared" si="3"/>
        <v>3.6370597053841398</v>
      </c>
      <c r="M8">
        <f t="shared" si="4"/>
        <v>6.1055518731457497</v>
      </c>
    </row>
    <row r="9" spans="1:13" x14ac:dyDescent="0.45">
      <c r="A9" s="16" t="s">
        <v>13</v>
      </c>
      <c r="B9" s="16">
        <v>2022</v>
      </c>
      <c r="C9" s="1">
        <v>8807.7900000000009</v>
      </c>
      <c r="D9" s="20">
        <v>1041</v>
      </c>
      <c r="E9" s="7">
        <f>598+526+2643+2539</f>
        <v>6306</v>
      </c>
      <c r="F9" s="5">
        <v>34.36</v>
      </c>
      <c r="G9" s="14">
        <v>524</v>
      </c>
      <c r="H9" s="11"/>
      <c r="I9">
        <f t="shared" si="0"/>
        <v>9.083391836156439</v>
      </c>
      <c r="J9">
        <f t="shared" si="1"/>
        <v>6.9479370686149693</v>
      </c>
      <c r="K9">
        <f t="shared" si="2"/>
        <v>8.7492568401050068</v>
      </c>
      <c r="L9">
        <f t="shared" si="3"/>
        <v>3.5368930971160548</v>
      </c>
      <c r="M9">
        <f t="shared" si="4"/>
        <v>6.261491684321042</v>
      </c>
    </row>
    <row r="10" spans="1:13" x14ac:dyDescent="0.45">
      <c r="A10" s="16" t="s">
        <v>13</v>
      </c>
      <c r="B10" s="16">
        <v>2023</v>
      </c>
      <c r="C10" s="1">
        <v>10742.4</v>
      </c>
      <c r="D10" s="21">
        <v>972.64</v>
      </c>
      <c r="E10" s="7">
        <f>594+507+2589+2496</f>
        <v>6186</v>
      </c>
      <c r="F10" s="5">
        <v>43.87</v>
      </c>
      <c r="G10" s="14">
        <v>553.34500000000003</v>
      </c>
      <c r="H10" s="11"/>
      <c r="I10">
        <f t="shared" si="0"/>
        <v>9.2819538067857152</v>
      </c>
      <c r="J10">
        <f t="shared" si="1"/>
        <v>6.8800140240004124</v>
      </c>
      <c r="K10">
        <f t="shared" si="2"/>
        <v>8.7300439532450156</v>
      </c>
      <c r="L10">
        <f t="shared" si="3"/>
        <v>3.7812307151781224</v>
      </c>
      <c r="M10">
        <f t="shared" si="4"/>
        <v>6.3159816767975574</v>
      </c>
    </row>
    <row r="11" spans="1:13" x14ac:dyDescent="0.45">
      <c r="A11" s="16" t="s">
        <v>13</v>
      </c>
      <c r="B11" s="16">
        <v>2024</v>
      </c>
      <c r="C11" s="2">
        <v>10710.02</v>
      </c>
      <c r="D11" s="21">
        <v>972.6</v>
      </c>
      <c r="E11" s="7">
        <f>580+490+2532+2435</f>
        <v>6037</v>
      </c>
      <c r="F11" s="5">
        <v>44.23</v>
      </c>
      <c r="G11" s="14">
        <v>815</v>
      </c>
      <c r="H11" s="11"/>
      <c r="I11">
        <f t="shared" si="0"/>
        <v>9.2789350308536829</v>
      </c>
      <c r="J11">
        <f t="shared" si="1"/>
        <v>6.8799728979696857</v>
      </c>
      <c r="K11">
        <f t="shared" si="2"/>
        <v>8.7056624787964267</v>
      </c>
      <c r="L11">
        <f t="shared" si="3"/>
        <v>3.7894032918802352</v>
      </c>
      <c r="M11">
        <f t="shared" si="4"/>
        <v>6.7031881132408628</v>
      </c>
    </row>
    <row r="12" spans="1:13" x14ac:dyDescent="0.45">
      <c r="A12" s="16" t="s">
        <v>14</v>
      </c>
      <c r="B12" s="16">
        <v>2020</v>
      </c>
      <c r="C12" s="1">
        <v>9209.2800000000007</v>
      </c>
      <c r="D12" s="19">
        <v>915</v>
      </c>
      <c r="E12" s="7">
        <f>743+720+2909+3298</f>
        <v>7670</v>
      </c>
      <c r="F12" s="5">
        <v>33.61</v>
      </c>
      <c r="G12" s="14">
        <f>202+75+115+151+124+107+141</f>
        <v>915</v>
      </c>
      <c r="H12" s="11"/>
      <c r="I12">
        <f t="shared" si="0"/>
        <v>9.1279669502976919</v>
      </c>
      <c r="J12">
        <f t="shared" si="1"/>
        <v>6.818924065275521</v>
      </c>
      <c r="K12">
        <f t="shared" si="2"/>
        <v>8.9450718943613019</v>
      </c>
      <c r="L12">
        <f t="shared" si="3"/>
        <v>3.5148236417370144</v>
      </c>
      <c r="M12">
        <f t="shared" si="4"/>
        <v>6.818924065275521</v>
      </c>
    </row>
    <row r="13" spans="1:13" x14ac:dyDescent="0.45">
      <c r="A13" s="16" t="s">
        <v>14</v>
      </c>
      <c r="B13" s="16">
        <v>2021</v>
      </c>
      <c r="C13" s="1">
        <v>9109.17</v>
      </c>
      <c r="D13" s="20">
        <v>898.45</v>
      </c>
      <c r="E13" s="7">
        <f>730+704+2814+3195</f>
        <v>7443</v>
      </c>
      <c r="F13" s="5">
        <v>33.159999999999997</v>
      </c>
      <c r="G13" s="14">
        <v>523.22</v>
      </c>
      <c r="H13" s="11"/>
      <c r="I13">
        <f t="shared" si="0"/>
        <v>9.117036877431568</v>
      </c>
      <c r="J13">
        <f t="shared" si="1"/>
        <v>6.8006710563724626</v>
      </c>
      <c r="K13">
        <f t="shared" si="2"/>
        <v>8.9150292723599112</v>
      </c>
      <c r="L13">
        <f t="shared" si="3"/>
        <v>3.5013443302670941</v>
      </c>
      <c r="M13">
        <f t="shared" si="4"/>
        <v>6.260002025712077</v>
      </c>
    </row>
    <row r="14" spans="1:13" x14ac:dyDescent="0.45">
      <c r="A14" s="16" t="s">
        <v>14</v>
      </c>
      <c r="B14" s="16">
        <v>2022</v>
      </c>
      <c r="C14" s="1">
        <v>9114.07</v>
      </c>
      <c r="D14" s="20">
        <v>898</v>
      </c>
      <c r="E14" s="7">
        <f>724+683+2746+3107</f>
        <v>7260</v>
      </c>
      <c r="F14" s="5">
        <v>35.479999999999997</v>
      </c>
      <c r="G14" s="14">
        <v>433.23</v>
      </c>
      <c r="H14" s="11"/>
      <c r="I14">
        <f t="shared" si="0"/>
        <v>9.1175746522858852</v>
      </c>
      <c r="J14">
        <f t="shared" si="1"/>
        <v>6.8001700683021999</v>
      </c>
      <c r="K14">
        <f t="shared" si="2"/>
        <v>8.8901351078188426</v>
      </c>
      <c r="L14">
        <f t="shared" si="3"/>
        <v>3.5689691574413787</v>
      </c>
      <c r="M14">
        <f t="shared" si="4"/>
        <v>6.0712687648065833</v>
      </c>
    </row>
    <row r="15" spans="1:13" x14ac:dyDescent="0.45">
      <c r="A15" s="16" t="s">
        <v>14</v>
      </c>
      <c r="B15" s="16">
        <v>2023</v>
      </c>
      <c r="C15" s="1">
        <v>8165.37</v>
      </c>
      <c r="D15" s="21">
        <v>855.12</v>
      </c>
      <c r="E15" s="7">
        <f>714+661+2704+3028</f>
        <v>7107</v>
      </c>
      <c r="F15" s="5">
        <v>33.11</v>
      </c>
      <c r="G15" s="14">
        <v>449.09699999999998</v>
      </c>
      <c r="H15" s="11"/>
      <c r="I15">
        <f t="shared" si="0"/>
        <v>9.0076573197483381</v>
      </c>
      <c r="J15">
        <f t="shared" si="1"/>
        <v>6.7512418099656903</v>
      </c>
      <c r="K15">
        <f t="shared" si="2"/>
        <v>8.8688354928268947</v>
      </c>
      <c r="L15">
        <f t="shared" si="3"/>
        <v>3.4998353515591547</v>
      </c>
      <c r="M15">
        <f t="shared" si="4"/>
        <v>6.1072389000446607</v>
      </c>
    </row>
    <row r="16" spans="1:13" x14ac:dyDescent="0.45">
      <c r="A16" s="16" t="s">
        <v>14</v>
      </c>
      <c r="B16" s="16">
        <v>2024</v>
      </c>
      <c r="C16" s="2">
        <v>8047.1</v>
      </c>
      <c r="D16" s="21">
        <v>855</v>
      </c>
      <c r="E16" s="7">
        <f>707+649+2649+2957</f>
        <v>6962</v>
      </c>
      <c r="F16" s="5">
        <v>32.85</v>
      </c>
      <c r="G16" s="14">
        <v>751</v>
      </c>
      <c r="H16" s="11"/>
      <c r="I16">
        <f t="shared" si="0"/>
        <v>8.9930670570603439</v>
      </c>
      <c r="J16">
        <f t="shared" si="1"/>
        <v>6.7511014689367599</v>
      </c>
      <c r="K16">
        <f t="shared" si="2"/>
        <v>8.8482220683713848</v>
      </c>
      <c r="L16">
        <f t="shared" si="3"/>
        <v>3.4919517449306197</v>
      </c>
      <c r="M16">
        <f t="shared" si="4"/>
        <v>6.6214056517641344</v>
      </c>
    </row>
    <row r="17" spans="1:13" x14ac:dyDescent="0.45">
      <c r="A17" s="16" t="s">
        <v>15</v>
      </c>
      <c r="B17" s="16">
        <v>2020</v>
      </c>
      <c r="C17" s="1">
        <v>9006.73</v>
      </c>
      <c r="D17" s="19">
        <v>838</v>
      </c>
      <c r="E17" s="7">
        <f>499+503+3698+3834</f>
        <v>8534</v>
      </c>
      <c r="F17" s="5">
        <v>36.32</v>
      </c>
      <c r="G17" s="14">
        <v>529.51</v>
      </c>
      <c r="H17" s="11"/>
      <c r="I17">
        <f t="shared" si="0"/>
        <v>9.1057273546496322</v>
      </c>
      <c r="J17">
        <f t="shared" si="1"/>
        <v>6.7310181004820828</v>
      </c>
      <c r="K17">
        <f t="shared" si="2"/>
        <v>9.0518134637479459</v>
      </c>
      <c r="L17">
        <f t="shared" si="3"/>
        <v>3.5923685537330927</v>
      </c>
      <c r="M17">
        <f t="shared" si="4"/>
        <v>6.2719520506043933</v>
      </c>
    </row>
    <row r="18" spans="1:13" x14ac:dyDescent="0.45">
      <c r="A18" s="16" t="s">
        <v>15</v>
      </c>
      <c r="B18" s="16">
        <v>2021</v>
      </c>
      <c r="C18" s="1">
        <v>10120.75</v>
      </c>
      <c r="D18" s="20">
        <v>855.13</v>
      </c>
      <c r="E18" s="7">
        <f>477+496+3608+3719</f>
        <v>8300</v>
      </c>
      <c r="F18" s="5">
        <v>40.770000000000003</v>
      </c>
      <c r="G18" s="14">
        <v>315.61</v>
      </c>
      <c r="H18" s="11"/>
      <c r="I18">
        <f t="shared" si="0"/>
        <v>9.2223430507673338</v>
      </c>
      <c r="J18">
        <f t="shared" si="1"/>
        <v>6.7512535041624453</v>
      </c>
      <c r="K18">
        <f t="shared" si="2"/>
        <v>9.0240107937846901</v>
      </c>
      <c r="L18">
        <f t="shared" si="3"/>
        <v>3.7079465168311621</v>
      </c>
      <c r="M18">
        <f t="shared" si="4"/>
        <v>5.7545072741478123</v>
      </c>
    </row>
    <row r="19" spans="1:13" x14ac:dyDescent="0.45">
      <c r="A19" s="16" t="s">
        <v>15</v>
      </c>
      <c r="B19" s="16">
        <v>2022</v>
      </c>
      <c r="C19" s="1">
        <v>10220.75</v>
      </c>
      <c r="D19" s="20">
        <v>855</v>
      </c>
      <c r="E19" s="7">
        <f>485+489+3498+3621</f>
        <v>8093</v>
      </c>
      <c r="F19" s="5">
        <v>40.07</v>
      </c>
      <c r="G19" s="14">
        <v>402.98599999999999</v>
      </c>
      <c r="H19" s="11"/>
      <c r="I19">
        <f t="shared" si="0"/>
        <v>9.2321752465837008</v>
      </c>
      <c r="J19">
        <f t="shared" si="1"/>
        <v>6.7511014689367599</v>
      </c>
      <c r="K19">
        <f t="shared" si="2"/>
        <v>8.9987547694957026</v>
      </c>
      <c r="L19">
        <f t="shared" si="3"/>
        <v>3.6906279246480533</v>
      </c>
      <c r="M19">
        <f t="shared" si="4"/>
        <v>5.9989018218891594</v>
      </c>
    </row>
    <row r="20" spans="1:13" x14ac:dyDescent="0.45">
      <c r="A20" s="16" t="s">
        <v>15</v>
      </c>
      <c r="B20" s="16">
        <v>2023</v>
      </c>
      <c r="C20" s="1">
        <v>9352.6299999999992</v>
      </c>
      <c r="D20" s="21">
        <v>811.58</v>
      </c>
      <c r="E20" s="7">
        <f>488+480+3430+3544</f>
        <v>7942</v>
      </c>
      <c r="F20" s="5">
        <v>37.15</v>
      </c>
      <c r="G20" s="14">
        <v>331.46600000000001</v>
      </c>
      <c r="H20" s="11"/>
      <c r="I20">
        <f t="shared" si="0"/>
        <v>9.1434128661524277</v>
      </c>
      <c r="J20">
        <f t="shared" si="1"/>
        <v>6.6989829649669002</v>
      </c>
      <c r="K20">
        <f t="shared" si="2"/>
        <v>8.9799204116911966</v>
      </c>
      <c r="L20">
        <f t="shared" si="3"/>
        <v>3.6149637711637683</v>
      </c>
      <c r="M20">
        <f t="shared" si="4"/>
        <v>5.803525240263296</v>
      </c>
    </row>
    <row r="21" spans="1:13" x14ac:dyDescent="0.45">
      <c r="A21" s="16" t="s">
        <v>15</v>
      </c>
      <c r="B21" s="16">
        <v>2024</v>
      </c>
      <c r="C21" s="2">
        <v>9335.6299999999992</v>
      </c>
      <c r="D21" s="21">
        <v>811.58</v>
      </c>
      <c r="E21" s="7">
        <f>480+471+3361+3476</f>
        <v>7788</v>
      </c>
      <c r="F21" s="5">
        <v>39.299999999999997</v>
      </c>
      <c r="G21" s="14">
        <v>550</v>
      </c>
      <c r="H21" s="11"/>
      <c r="I21">
        <f t="shared" si="0"/>
        <v>9.141593541647195</v>
      </c>
      <c r="J21">
        <f t="shared" si="1"/>
        <v>6.6989829649669002</v>
      </c>
      <c r="K21">
        <f t="shared" si="2"/>
        <v>8.9603393664920912</v>
      </c>
      <c r="L21">
        <f t="shared" si="3"/>
        <v>3.6712245188752153</v>
      </c>
      <c r="M21">
        <f t="shared" si="4"/>
        <v>6.3099182782265162</v>
      </c>
    </row>
    <row r="22" spans="1:13" x14ac:dyDescent="0.45">
      <c r="A22" s="16" t="s">
        <v>16</v>
      </c>
      <c r="B22" s="16">
        <v>2020</v>
      </c>
      <c r="C22" s="1">
        <v>10220.040000000001</v>
      </c>
      <c r="D22" s="19">
        <v>1046.0999999999999</v>
      </c>
      <c r="E22" s="7">
        <f>324+249+4042+3730</f>
        <v>8345</v>
      </c>
      <c r="F22" s="5">
        <v>40.880000000000003</v>
      </c>
      <c r="G22" s="14">
        <v>660</v>
      </c>
      <c r="H22" s="11"/>
      <c r="I22">
        <f t="shared" si="0"/>
        <v>9.2321057776443602</v>
      </c>
      <c r="J22">
        <f t="shared" si="1"/>
        <v>6.9528242423497151</v>
      </c>
      <c r="K22">
        <f t="shared" si="2"/>
        <v>9.0294178360959361</v>
      </c>
      <c r="L22">
        <f t="shared" si="3"/>
        <v>3.7106409458954492</v>
      </c>
      <c r="M22">
        <f t="shared" si="4"/>
        <v>6.4922398350204711</v>
      </c>
    </row>
    <row r="23" spans="1:13" x14ac:dyDescent="0.45">
      <c r="A23" s="16" t="s">
        <v>16</v>
      </c>
      <c r="B23" s="16">
        <v>2021</v>
      </c>
      <c r="C23" s="1">
        <v>11050.5</v>
      </c>
      <c r="D23" s="20">
        <v>1050.3599999999999</v>
      </c>
      <c r="E23" s="7">
        <f>320+246+3916+3634</f>
        <v>8116</v>
      </c>
      <c r="F23" s="5">
        <v>44.07</v>
      </c>
      <c r="G23" s="14">
        <v>425.89</v>
      </c>
      <c r="H23" s="11"/>
      <c r="I23">
        <f t="shared" si="0"/>
        <v>9.3102309547909776</v>
      </c>
      <c r="J23">
        <f t="shared" si="1"/>
        <v>6.9568882415323472</v>
      </c>
      <c r="K23">
        <f t="shared" si="2"/>
        <v>9.0015927009457055</v>
      </c>
      <c r="L23">
        <f t="shared" si="3"/>
        <v>3.7857792788538958</v>
      </c>
      <c r="M23">
        <f t="shared" si="4"/>
        <v>6.0541810969634478</v>
      </c>
    </row>
    <row r="24" spans="1:13" x14ac:dyDescent="0.45">
      <c r="A24" s="16" t="s">
        <v>16</v>
      </c>
      <c r="B24" s="16">
        <v>2022</v>
      </c>
      <c r="C24" s="1">
        <v>11130.5</v>
      </c>
      <c r="D24" s="20">
        <v>1050</v>
      </c>
      <c r="E24" s="7">
        <f>309+245+3822+3530</f>
        <v>7906</v>
      </c>
      <c r="F24" s="5">
        <v>42.16</v>
      </c>
      <c r="G24" s="14">
        <v>424</v>
      </c>
      <c r="H24" s="11"/>
      <c r="I24">
        <f t="shared" si="0"/>
        <v>9.317444366890383</v>
      </c>
      <c r="J24">
        <f t="shared" si="1"/>
        <v>6.956545443151569</v>
      </c>
      <c r="K24">
        <f t="shared" si="2"/>
        <v>8.9753772438566308</v>
      </c>
      <c r="L24">
        <f t="shared" si="3"/>
        <v>3.7414719042331068</v>
      </c>
      <c r="M24">
        <f t="shared" si="4"/>
        <v>6.0497334552319577</v>
      </c>
    </row>
    <row r="25" spans="1:13" x14ac:dyDescent="0.45">
      <c r="A25" s="16" t="s">
        <v>16</v>
      </c>
      <c r="B25" s="16">
        <v>2023</v>
      </c>
      <c r="C25" s="1">
        <v>10782.33</v>
      </c>
      <c r="D25" s="21">
        <v>1043.05</v>
      </c>
      <c r="E25" s="7">
        <f>313+240+3758+3467</f>
        <v>7778</v>
      </c>
      <c r="F25" s="5">
        <v>42.54</v>
      </c>
      <c r="G25" s="14">
        <v>348.62799999999999</v>
      </c>
      <c r="H25" s="11"/>
      <c r="I25">
        <f t="shared" si="0"/>
        <v>9.2856639621097425</v>
      </c>
      <c r="J25">
        <f t="shared" si="1"/>
        <v>6.9499043924902955</v>
      </c>
      <c r="K25">
        <f t="shared" si="2"/>
        <v>8.9590545147156924</v>
      </c>
      <c r="L25">
        <f t="shared" si="3"/>
        <v>3.750444809772091</v>
      </c>
      <c r="M25">
        <f t="shared" si="4"/>
        <v>5.8540054511454791</v>
      </c>
    </row>
    <row r="26" spans="1:13" x14ac:dyDescent="0.45">
      <c r="A26" s="16" t="s">
        <v>16</v>
      </c>
      <c r="B26" s="16">
        <v>2024</v>
      </c>
      <c r="C26" s="2">
        <v>12882.99</v>
      </c>
      <c r="D26" s="21">
        <v>1043</v>
      </c>
      <c r="E26" s="7">
        <f>309+237+3683+3376</f>
        <v>7605</v>
      </c>
      <c r="F26" s="5">
        <v>52.68</v>
      </c>
      <c r="G26" s="14">
        <v>509</v>
      </c>
      <c r="H26" s="11"/>
      <c r="I26">
        <f t="shared" si="0"/>
        <v>9.4636631155745032</v>
      </c>
      <c r="J26">
        <f t="shared" si="1"/>
        <v>6.9498564550007726</v>
      </c>
      <c r="K26">
        <f t="shared" si="2"/>
        <v>8.936561204693394</v>
      </c>
      <c r="L26">
        <f t="shared" si="3"/>
        <v>3.9642358768750805</v>
      </c>
      <c r="M26">
        <f t="shared" si="4"/>
        <v>6.2324480165505225</v>
      </c>
    </row>
    <row r="27" spans="1:13" x14ac:dyDescent="0.45">
      <c r="A27" s="16" t="s">
        <v>17</v>
      </c>
      <c r="B27" s="16">
        <v>2020</v>
      </c>
      <c r="C27" s="1">
        <v>13709.76</v>
      </c>
      <c r="D27" s="19">
        <v>868.5</v>
      </c>
      <c r="E27" s="7">
        <f>185+142+4473+4266</f>
        <v>9066</v>
      </c>
      <c r="F27" s="5">
        <v>46.32</v>
      </c>
      <c r="G27" s="14">
        <v>388.05</v>
      </c>
      <c r="H27" s="11"/>
      <c r="I27">
        <f t="shared" si="0"/>
        <v>9.5258632669326779</v>
      </c>
      <c r="J27">
        <f t="shared" si="1"/>
        <v>6.7667675856811593</v>
      </c>
      <c r="K27">
        <f t="shared" si="2"/>
        <v>9.1122864315007952</v>
      </c>
      <c r="L27">
        <f t="shared" si="3"/>
        <v>3.83557383326474</v>
      </c>
      <c r="M27">
        <f t="shared" si="4"/>
        <v>5.9611341973001482</v>
      </c>
    </row>
    <row r="28" spans="1:13" x14ac:dyDescent="0.45">
      <c r="A28" s="16" t="s">
        <v>17</v>
      </c>
      <c r="B28" s="16">
        <v>2021</v>
      </c>
      <c r="C28" s="1">
        <v>13910.82</v>
      </c>
      <c r="D28" s="20">
        <v>864.93</v>
      </c>
      <c r="E28" s="7">
        <f>173+131+4307+4107</f>
        <v>8718</v>
      </c>
      <c r="F28" s="5">
        <v>46.93</v>
      </c>
      <c r="G28" s="14">
        <v>344.74</v>
      </c>
      <c r="H28" s="11"/>
      <c r="I28">
        <f t="shared" si="0"/>
        <v>9.5404222335753808</v>
      </c>
      <c r="J28">
        <f t="shared" si="1"/>
        <v>6.7626485788017954</v>
      </c>
      <c r="K28">
        <f t="shared" si="2"/>
        <v>9.0731451327983379</v>
      </c>
      <c r="L28">
        <f t="shared" si="3"/>
        <v>3.8486571298063263</v>
      </c>
      <c r="M28">
        <f t="shared" si="4"/>
        <v>5.8427905097262451</v>
      </c>
    </row>
    <row r="29" spans="1:13" x14ac:dyDescent="0.45">
      <c r="A29" s="16" t="s">
        <v>17</v>
      </c>
      <c r="B29" s="16">
        <v>2022</v>
      </c>
      <c r="C29" s="1">
        <v>13909.82</v>
      </c>
      <c r="D29" s="20">
        <v>868</v>
      </c>
      <c r="E29" s="7">
        <f>162+129+4193+4026</f>
        <v>8510</v>
      </c>
      <c r="F29" s="5">
        <v>52.8</v>
      </c>
      <c r="G29" s="14">
        <v>346.012</v>
      </c>
      <c r="H29" s="11"/>
      <c r="I29">
        <f t="shared" si="0"/>
        <v>9.5403503445030644</v>
      </c>
      <c r="J29">
        <f t="shared" si="1"/>
        <v>6.7661917146603505</v>
      </c>
      <c r="K29">
        <f t="shared" si="2"/>
        <v>9.0489972215674204</v>
      </c>
      <c r="L29">
        <f t="shared" si="3"/>
        <v>3.9665111907122159</v>
      </c>
      <c r="M29">
        <f t="shared" si="4"/>
        <v>5.8464734565372396</v>
      </c>
    </row>
    <row r="30" spans="1:13" x14ac:dyDescent="0.45">
      <c r="A30" s="16" t="s">
        <v>17</v>
      </c>
      <c r="B30" s="16">
        <v>2023</v>
      </c>
      <c r="C30" s="1">
        <v>14060.24</v>
      </c>
      <c r="D30" s="21">
        <v>856.99</v>
      </c>
      <c r="E30" s="7">
        <f>163+131+4097+3943</f>
        <v>8334</v>
      </c>
      <c r="F30" s="5">
        <v>54.06</v>
      </c>
      <c r="G30" s="14">
        <v>324.65499999999997</v>
      </c>
      <c r="H30" s="11"/>
      <c r="I30">
        <f t="shared" si="0"/>
        <v>9.5511062349202511</v>
      </c>
      <c r="J30">
        <f t="shared" si="1"/>
        <v>6.7534262499182658</v>
      </c>
      <c r="K30">
        <f t="shared" si="2"/>
        <v>9.0280988119823995</v>
      </c>
      <c r="L30">
        <f t="shared" si="3"/>
        <v>3.9900945408483017</v>
      </c>
      <c r="M30">
        <f t="shared" si="4"/>
        <v>5.7827630800371921</v>
      </c>
    </row>
    <row r="31" spans="1:13" x14ac:dyDescent="0.45">
      <c r="A31" s="16" t="s">
        <v>17</v>
      </c>
      <c r="B31" s="16">
        <v>2024</v>
      </c>
      <c r="C31" s="2">
        <v>13305.35</v>
      </c>
      <c r="D31" s="21">
        <v>856.9</v>
      </c>
      <c r="E31" s="7">
        <f>161+131+3999+3859</f>
        <v>8150</v>
      </c>
      <c r="F31" s="5">
        <v>50.68</v>
      </c>
      <c r="G31" s="14">
        <v>473</v>
      </c>
      <c r="H31" s="11"/>
      <c r="I31">
        <f t="shared" si="0"/>
        <v>9.4959214889658323</v>
      </c>
      <c r="J31">
        <f t="shared" si="1"/>
        <v>6.753321225675073</v>
      </c>
      <c r="K31">
        <f t="shared" si="2"/>
        <v>9.0057732062349078</v>
      </c>
      <c r="L31">
        <f t="shared" si="3"/>
        <v>3.9255313554529381</v>
      </c>
      <c r="M31">
        <f t="shared" si="4"/>
        <v>6.1590953884919326</v>
      </c>
    </row>
    <row r="32" spans="1:13" x14ac:dyDescent="0.45">
      <c r="A32" s="16" t="s">
        <v>18</v>
      </c>
      <c r="B32" s="16">
        <v>2020</v>
      </c>
      <c r="C32" s="1">
        <v>15044.32</v>
      </c>
      <c r="D32" s="19">
        <v>948</v>
      </c>
      <c r="E32" s="7">
        <f>206+126+1627+1452</f>
        <v>3411</v>
      </c>
      <c r="F32" s="5">
        <f>+C32/274</f>
        <v>54.906277372262771</v>
      </c>
      <c r="G32" s="14">
        <v>512.22</v>
      </c>
      <c r="H32" s="11"/>
      <c r="I32">
        <f t="shared" si="0"/>
        <v>9.6187557903025844</v>
      </c>
      <c r="J32">
        <f t="shared" si="1"/>
        <v>6.8543545022550214</v>
      </c>
      <c r="K32">
        <f t="shared" si="2"/>
        <v>8.1347607824186454</v>
      </c>
      <c r="L32">
        <f t="shared" si="3"/>
        <v>4.005627683914514</v>
      </c>
      <c r="M32">
        <f t="shared" si="4"/>
        <v>6.2387542202502697</v>
      </c>
    </row>
    <row r="33" spans="1:13" x14ac:dyDescent="0.45">
      <c r="A33" s="16" t="s">
        <v>18</v>
      </c>
      <c r="B33" s="16">
        <v>2021</v>
      </c>
      <c r="C33" s="1">
        <v>16066.33</v>
      </c>
      <c r="D33" s="20">
        <v>942.15</v>
      </c>
      <c r="E33" s="7">
        <f>197+117+1543+1374</f>
        <v>3231</v>
      </c>
      <c r="F33" s="5">
        <v>58.56</v>
      </c>
      <c r="G33" s="14">
        <v>358.13</v>
      </c>
      <c r="H33" s="11"/>
      <c r="I33">
        <f t="shared" si="0"/>
        <v>9.6844810567941906</v>
      </c>
      <c r="J33">
        <f t="shared" si="1"/>
        <v>6.8481644975684999</v>
      </c>
      <c r="K33">
        <f t="shared" si="2"/>
        <v>8.0805469658244977</v>
      </c>
      <c r="L33">
        <f t="shared" si="3"/>
        <v>4.0700518696530565</v>
      </c>
      <c r="M33">
        <f t="shared" si="4"/>
        <v>5.8808960489771263</v>
      </c>
    </row>
    <row r="34" spans="1:13" x14ac:dyDescent="0.45">
      <c r="A34" s="16" t="s">
        <v>18</v>
      </c>
      <c r="B34" s="16">
        <v>2022</v>
      </c>
      <c r="C34" s="1">
        <v>16163.33</v>
      </c>
      <c r="D34" s="20">
        <v>941</v>
      </c>
      <c r="E34" s="7">
        <f>187+113+1507+1316</f>
        <v>3123</v>
      </c>
      <c r="F34" s="5">
        <v>61.5</v>
      </c>
      <c r="G34" s="14">
        <v>375.04199999999997</v>
      </c>
      <c r="H34" s="11"/>
      <c r="I34">
        <f t="shared" ref="I34:I65" si="5">LN(C34)</f>
        <v>9.6905003752031789</v>
      </c>
      <c r="J34">
        <f t="shared" ref="J34:J65" si="6">LN(D34)</f>
        <v>6.8469431395853793</v>
      </c>
      <c r="K34">
        <f t="shared" ref="K34:K65" si="7">LN(E34)</f>
        <v>8.0465493572830784</v>
      </c>
      <c r="L34">
        <f t="shared" ref="L34:L65" si="8">LN(F34)</f>
        <v>4.1190371748124726</v>
      </c>
      <c r="M34">
        <f t="shared" ref="M34:M65" si="9">LN(G34)</f>
        <v>5.9270380196988794</v>
      </c>
    </row>
    <row r="35" spans="1:13" x14ac:dyDescent="0.45">
      <c r="A35" s="16" t="s">
        <v>18</v>
      </c>
      <c r="B35" s="16">
        <v>2023</v>
      </c>
      <c r="C35" s="1">
        <v>14674.28</v>
      </c>
      <c r="D35" s="21">
        <v>916.15</v>
      </c>
      <c r="E35" s="7">
        <f>189+108+1465+1274</f>
        <v>3036</v>
      </c>
      <c r="F35" s="5">
        <v>58.24</v>
      </c>
      <c r="G35" s="14">
        <v>296.14699999999999</v>
      </c>
      <c r="H35" s="11"/>
      <c r="I35">
        <f t="shared" si="5"/>
        <v>9.5938515804602993</v>
      </c>
      <c r="J35">
        <f t="shared" si="6"/>
        <v>6.820180106726184</v>
      </c>
      <c r="K35">
        <f t="shared" si="7"/>
        <v>8.0182961385155203</v>
      </c>
      <c r="L35">
        <f t="shared" si="8"/>
        <v>4.0645724038884303</v>
      </c>
      <c r="M35">
        <f t="shared" si="9"/>
        <v>5.6908559526699767</v>
      </c>
    </row>
    <row r="36" spans="1:13" x14ac:dyDescent="0.45">
      <c r="A36" s="16" t="s">
        <v>18</v>
      </c>
      <c r="B36" s="16">
        <v>2024</v>
      </c>
      <c r="C36" s="2">
        <v>14317.66</v>
      </c>
      <c r="D36" s="21">
        <v>916.2</v>
      </c>
      <c r="E36" s="7">
        <f>187+104+1426+1237</f>
        <v>2954</v>
      </c>
      <c r="F36" s="5">
        <v>64.099999999999994</v>
      </c>
      <c r="G36" s="14">
        <v>463</v>
      </c>
      <c r="H36" s="11"/>
      <c r="I36">
        <f t="shared" si="5"/>
        <v>9.5692490193408943</v>
      </c>
      <c r="J36">
        <f t="shared" si="6"/>
        <v>6.820234681452642</v>
      </c>
      <c r="K36">
        <f t="shared" si="7"/>
        <v>7.9909154630913255</v>
      </c>
      <c r="L36">
        <f t="shared" si="8"/>
        <v>4.160444363926624</v>
      </c>
      <c r="M36">
        <f t="shared" si="9"/>
        <v>6.1377270540862341</v>
      </c>
    </row>
    <row r="37" spans="1:13" x14ac:dyDescent="0.45">
      <c r="A37" s="16" t="s">
        <v>19</v>
      </c>
      <c r="B37" s="16">
        <v>2020</v>
      </c>
      <c r="C37" s="1">
        <v>16903.21</v>
      </c>
      <c r="D37" s="19">
        <v>1184.9000000000001</v>
      </c>
      <c r="E37" s="7">
        <f>308+239+827+853</f>
        <v>2227</v>
      </c>
      <c r="F37" s="5">
        <f>+C37/278</f>
        <v>60.802913669064743</v>
      </c>
      <c r="G37" s="14">
        <v>509</v>
      </c>
      <c r="H37" s="11"/>
      <c r="I37">
        <f t="shared" si="5"/>
        <v>9.7352588237030915</v>
      </c>
      <c r="J37">
        <f t="shared" si="6"/>
        <v>7.0774136618226944</v>
      </c>
      <c r="K37">
        <f t="shared" si="7"/>
        <v>7.7084106672573673</v>
      </c>
      <c r="L37">
        <f t="shared" si="8"/>
        <v>4.1076377100124546</v>
      </c>
      <c r="M37">
        <f t="shared" si="9"/>
        <v>6.2324480165505225</v>
      </c>
    </row>
    <row r="38" spans="1:13" x14ac:dyDescent="0.45">
      <c r="A38" s="16" t="s">
        <v>19</v>
      </c>
      <c r="B38" s="16">
        <v>2021</v>
      </c>
      <c r="C38" s="1">
        <v>19913.05</v>
      </c>
      <c r="D38" s="20">
        <v>1143.6300000000001</v>
      </c>
      <c r="E38" s="7">
        <f>292+226+789+785</f>
        <v>2092</v>
      </c>
      <c r="F38" s="5">
        <v>71.400000000000006</v>
      </c>
      <c r="G38" s="14">
        <v>270.87</v>
      </c>
      <c r="H38" s="11"/>
      <c r="I38">
        <f t="shared" si="5"/>
        <v>9.8991305746780363</v>
      </c>
      <c r="J38">
        <f t="shared" si="6"/>
        <v>7.0419626930526622</v>
      </c>
      <c r="K38">
        <f t="shared" si="7"/>
        <v>7.6458758251848131</v>
      </c>
      <c r="L38">
        <f t="shared" si="8"/>
        <v>4.2682978693455391</v>
      </c>
      <c r="M38">
        <f t="shared" si="9"/>
        <v>5.6016390009874977</v>
      </c>
    </row>
    <row r="39" spans="1:13" x14ac:dyDescent="0.45">
      <c r="A39" s="16" t="s">
        <v>19</v>
      </c>
      <c r="B39" s="16">
        <v>2022</v>
      </c>
      <c r="C39" s="1">
        <v>19944.05</v>
      </c>
      <c r="D39" s="20">
        <v>1144</v>
      </c>
      <c r="E39" s="7">
        <f>276+219+749+760</f>
        <v>2004</v>
      </c>
      <c r="F39" s="5">
        <v>77.13</v>
      </c>
      <c r="G39" s="14">
        <v>415.48099999999999</v>
      </c>
      <c r="H39" s="11"/>
      <c r="I39">
        <f t="shared" si="5"/>
        <v>9.9006861322199065</v>
      </c>
      <c r="J39">
        <f t="shared" si="6"/>
        <v>7.0422861719397432</v>
      </c>
      <c r="K39">
        <f t="shared" si="7"/>
        <v>7.6029004622047553</v>
      </c>
      <c r="L39">
        <f t="shared" si="8"/>
        <v>4.3454923099459082</v>
      </c>
      <c r="M39">
        <f t="shared" si="9"/>
        <v>6.0294368852114362</v>
      </c>
    </row>
    <row r="40" spans="1:13" x14ac:dyDescent="0.45">
      <c r="A40" s="16" t="s">
        <v>19</v>
      </c>
      <c r="B40" s="16">
        <v>2023</v>
      </c>
      <c r="C40" s="1">
        <v>16006.95</v>
      </c>
      <c r="D40" s="21">
        <v>1119.76</v>
      </c>
      <c r="E40" s="7">
        <f>273+213+727+733</f>
        <v>1946</v>
      </c>
      <c r="F40" s="5">
        <v>63.13</v>
      </c>
      <c r="G40" s="14">
        <v>394.10199999999998</v>
      </c>
      <c r="H40" s="11"/>
      <c r="I40">
        <f t="shared" si="5"/>
        <v>9.6807782819084078</v>
      </c>
      <c r="J40">
        <f t="shared" si="6"/>
        <v>7.0208696556123904</v>
      </c>
      <c r="K40">
        <f t="shared" si="7"/>
        <v>7.5735312627459503</v>
      </c>
      <c r="L40">
        <f t="shared" si="8"/>
        <v>4.1451960923795346</v>
      </c>
      <c r="M40">
        <f t="shared" si="9"/>
        <v>5.9766097590421792</v>
      </c>
    </row>
    <row r="41" spans="1:13" x14ac:dyDescent="0.45">
      <c r="A41" s="16" t="s">
        <v>19</v>
      </c>
      <c r="B41" s="16">
        <v>2024</v>
      </c>
      <c r="C41" s="2">
        <v>15035.42</v>
      </c>
      <c r="D41" s="21">
        <v>1119.8</v>
      </c>
      <c r="E41" s="7">
        <f>267+212+699+708</f>
        <v>1886</v>
      </c>
      <c r="F41" s="5">
        <v>61.88</v>
      </c>
      <c r="G41" s="14">
        <v>380</v>
      </c>
      <c r="H41" s="11"/>
      <c r="I41">
        <f t="shared" si="5"/>
        <v>9.6181640298512168</v>
      </c>
      <c r="J41">
        <f t="shared" si="6"/>
        <v>7.0209053769147927</v>
      </c>
      <c r="K41">
        <f t="shared" si="7"/>
        <v>7.542213463193403</v>
      </c>
      <c r="L41">
        <f t="shared" si="8"/>
        <v>4.1251970257048658</v>
      </c>
      <c r="M41">
        <f t="shared" si="9"/>
        <v>5.9401712527204316</v>
      </c>
    </row>
    <row r="42" spans="1:13" x14ac:dyDescent="0.45">
      <c r="A42" s="16" t="s">
        <v>20</v>
      </c>
      <c r="B42" s="16">
        <v>2020</v>
      </c>
      <c r="C42" s="1">
        <v>14723.59</v>
      </c>
      <c r="D42" s="19">
        <v>1429.7</v>
      </c>
      <c r="E42" s="7">
        <f>1843+2165+1283+1316</f>
        <v>6607</v>
      </c>
      <c r="F42" s="5">
        <f>+C42/299</f>
        <v>49.242775919732445</v>
      </c>
      <c r="G42" s="14">
        <v>404</v>
      </c>
      <c r="H42" s="11"/>
      <c r="I42">
        <f t="shared" si="5"/>
        <v>9.597206248417109</v>
      </c>
      <c r="J42">
        <f t="shared" si="6"/>
        <v>7.2652199110351185</v>
      </c>
      <c r="K42">
        <f t="shared" si="7"/>
        <v>8.7958849720298851</v>
      </c>
      <c r="L42">
        <f t="shared" si="8"/>
        <v>3.8967626750264222</v>
      </c>
      <c r="M42">
        <f t="shared" si="9"/>
        <v>6.0014148779611505</v>
      </c>
    </row>
    <row r="43" spans="1:13" x14ac:dyDescent="0.45">
      <c r="A43" s="16" t="s">
        <v>20</v>
      </c>
      <c r="B43" s="16">
        <v>2021</v>
      </c>
      <c r="C43" s="1">
        <v>15723.65</v>
      </c>
      <c r="D43" s="20">
        <v>1376.14</v>
      </c>
      <c r="E43" s="7">
        <f>1799+2109+1210+1269</f>
        <v>6387</v>
      </c>
      <c r="F43" s="5">
        <v>52.54</v>
      </c>
      <c r="G43" s="14">
        <v>399.13</v>
      </c>
      <c r="H43" s="11"/>
      <c r="I43">
        <f t="shared" si="5"/>
        <v>9.6629212273268319</v>
      </c>
      <c r="J43">
        <f t="shared" si="6"/>
        <v>7.227037757503747</v>
      </c>
      <c r="K43">
        <f t="shared" si="7"/>
        <v>8.7620199535615892</v>
      </c>
      <c r="L43">
        <f t="shared" si="8"/>
        <v>3.9615747842573938</v>
      </c>
      <c r="M43">
        <f t="shared" si="9"/>
        <v>5.9892871783601747</v>
      </c>
    </row>
    <row r="44" spans="1:13" x14ac:dyDescent="0.45">
      <c r="A44" s="16" t="s">
        <v>20</v>
      </c>
      <c r="B44" s="16">
        <v>2022</v>
      </c>
      <c r="C44" s="1">
        <v>15779.65</v>
      </c>
      <c r="D44" s="20">
        <v>1379.14</v>
      </c>
      <c r="E44" s="7">
        <f>1764+2092+1186+1244</f>
        <v>6286</v>
      </c>
      <c r="F44" s="5">
        <v>61.26</v>
      </c>
      <c r="G44" s="14">
        <v>461.57900000000001</v>
      </c>
      <c r="H44" s="11"/>
      <c r="I44">
        <f t="shared" si="5"/>
        <v>9.6664764141792343</v>
      </c>
      <c r="J44">
        <f t="shared" si="6"/>
        <v>7.2292153954828464</v>
      </c>
      <c r="K44">
        <f t="shared" si="7"/>
        <v>8.7460802173575125</v>
      </c>
      <c r="L44">
        <f t="shared" si="8"/>
        <v>4.1151271014046289</v>
      </c>
      <c r="M44">
        <f t="shared" si="9"/>
        <v>6.1346532202248669</v>
      </c>
    </row>
    <row r="45" spans="1:13" x14ac:dyDescent="0.45">
      <c r="A45" s="16" t="s">
        <v>20</v>
      </c>
      <c r="B45" s="16">
        <v>2023</v>
      </c>
      <c r="C45" s="1">
        <v>15800.91</v>
      </c>
      <c r="D45" s="21">
        <v>1285.3699999999999</v>
      </c>
      <c r="E45" s="7">
        <f>1720+2041+1156+1211</f>
        <v>6128</v>
      </c>
      <c r="F45" s="5">
        <v>62.27</v>
      </c>
      <c r="G45" s="14">
        <v>404.38499999999999</v>
      </c>
      <c r="H45" s="11"/>
      <c r="I45">
        <f t="shared" si="5"/>
        <v>9.6678228122932417</v>
      </c>
      <c r="J45">
        <f t="shared" si="6"/>
        <v>7.1588018936263946</v>
      </c>
      <c r="K45">
        <f t="shared" si="7"/>
        <v>8.7206237114204264</v>
      </c>
      <c r="L45">
        <f t="shared" si="8"/>
        <v>4.1314797688843603</v>
      </c>
      <c r="M45">
        <f t="shared" si="9"/>
        <v>6.0023673944702614</v>
      </c>
    </row>
    <row r="46" spans="1:13" x14ac:dyDescent="0.45">
      <c r="A46" s="16" t="s">
        <v>20</v>
      </c>
      <c r="B46" s="16">
        <v>2024</v>
      </c>
      <c r="C46" s="2">
        <v>13827.8</v>
      </c>
      <c r="D46" s="21">
        <v>1285.32</v>
      </c>
      <c r="E46" s="7">
        <f>1668+2007+1115+1180</f>
        <v>5970</v>
      </c>
      <c r="F46" s="5">
        <v>69.599999999999994</v>
      </c>
      <c r="G46" s="14">
        <v>658</v>
      </c>
      <c r="H46" s="11"/>
      <c r="I46">
        <f t="shared" si="5"/>
        <v>9.5344363375293408</v>
      </c>
      <c r="J46">
        <f t="shared" si="6"/>
        <v>7.1587629935645385</v>
      </c>
      <c r="K46">
        <f t="shared" si="7"/>
        <v>8.6945022063866482</v>
      </c>
      <c r="L46">
        <f t="shared" si="8"/>
        <v>4.242764567340374</v>
      </c>
      <c r="M46">
        <f t="shared" si="9"/>
        <v>6.4892049313253173</v>
      </c>
    </row>
    <row r="47" spans="1:13" x14ac:dyDescent="0.45">
      <c r="A47" s="16" t="s">
        <v>21</v>
      </c>
      <c r="B47" s="16">
        <v>2020</v>
      </c>
      <c r="C47" s="1">
        <v>7830.34</v>
      </c>
      <c r="D47" s="19">
        <v>730</v>
      </c>
      <c r="E47" s="7">
        <f>2701+4075+2223+2764</f>
        <v>11763</v>
      </c>
      <c r="F47" s="5">
        <v>29.89</v>
      </c>
      <c r="G47" s="14">
        <v>190</v>
      </c>
      <c r="H47" s="11"/>
      <c r="I47">
        <f t="shared" si="5"/>
        <v>8.9657612107751863</v>
      </c>
      <c r="J47">
        <f t="shared" si="6"/>
        <v>6.5930445341424369</v>
      </c>
      <c r="K47">
        <f t="shared" si="7"/>
        <v>9.3727142909604417</v>
      </c>
      <c r="L47">
        <f t="shared" si="8"/>
        <v>3.3975239762958465</v>
      </c>
      <c r="M47">
        <f t="shared" si="9"/>
        <v>5.2470240721604862</v>
      </c>
    </row>
    <row r="48" spans="1:13" x14ac:dyDescent="0.45">
      <c r="A48" s="16" t="s">
        <v>21</v>
      </c>
      <c r="B48" s="16">
        <v>2021</v>
      </c>
      <c r="C48" s="1">
        <v>8830.51</v>
      </c>
      <c r="D48" s="20">
        <v>720.42</v>
      </c>
      <c r="E48" s="7">
        <f>2628+3999+2154+2681</f>
        <v>11462</v>
      </c>
      <c r="F48" s="5">
        <v>33.619999999999997</v>
      </c>
      <c r="G48" s="14">
        <v>264.12</v>
      </c>
      <c r="H48" s="11"/>
      <c r="I48">
        <f t="shared" si="5"/>
        <v>9.0859680495744914</v>
      </c>
      <c r="J48">
        <f t="shared" si="6"/>
        <v>6.5798343752706812</v>
      </c>
      <c r="K48">
        <f t="shared" si="7"/>
        <v>9.3467924951116821</v>
      </c>
      <c r="L48">
        <f t="shared" si="8"/>
        <v>3.5151211279804695</v>
      </c>
      <c r="M48">
        <f t="shared" si="9"/>
        <v>5.5764035453263707</v>
      </c>
    </row>
    <row r="49" spans="1:13" x14ac:dyDescent="0.45">
      <c r="A49" s="16" t="s">
        <v>21</v>
      </c>
      <c r="B49" s="16">
        <v>2022</v>
      </c>
      <c r="C49" s="1">
        <v>8880.1</v>
      </c>
      <c r="D49" s="20">
        <v>710</v>
      </c>
      <c r="E49" s="7">
        <f>2609+4008+2106+2624</f>
        <v>11347</v>
      </c>
      <c r="F49" s="5">
        <v>39.200000000000003</v>
      </c>
      <c r="G49" s="14">
        <v>377.5</v>
      </c>
      <c r="H49" s="11"/>
      <c r="I49">
        <f t="shared" si="5"/>
        <v>9.0915680971840693</v>
      </c>
      <c r="J49">
        <f t="shared" si="6"/>
        <v>6.5652649700353614</v>
      </c>
      <c r="K49">
        <f t="shared" si="7"/>
        <v>9.3367086707909888</v>
      </c>
      <c r="L49">
        <f t="shared" si="8"/>
        <v>3.6686767467964168</v>
      </c>
      <c r="M49">
        <f t="shared" si="9"/>
        <v>5.9335705686890794</v>
      </c>
    </row>
    <row r="50" spans="1:13" x14ac:dyDescent="0.45">
      <c r="A50" s="16" t="s">
        <v>21</v>
      </c>
      <c r="B50" s="16">
        <v>2023</v>
      </c>
      <c r="C50" s="1">
        <v>6814.19</v>
      </c>
      <c r="D50" s="21">
        <v>647.03</v>
      </c>
      <c r="E50" s="7">
        <f>2578+3961+2081+2602</f>
        <v>11222</v>
      </c>
      <c r="F50" s="5">
        <v>31.02</v>
      </c>
      <c r="G50" s="14">
        <v>351.625</v>
      </c>
      <c r="H50" s="11"/>
      <c r="I50">
        <f t="shared" si="5"/>
        <v>8.8267624816008787</v>
      </c>
      <c r="J50">
        <f t="shared" si="6"/>
        <v>6.472392661277568</v>
      </c>
      <c r="K50">
        <f t="shared" si="7"/>
        <v>9.3256314163109177</v>
      </c>
      <c r="L50">
        <f t="shared" si="8"/>
        <v>3.4346321577483927</v>
      </c>
      <c r="M50">
        <f t="shared" si="9"/>
        <v>5.8625652668100212</v>
      </c>
    </row>
    <row r="51" spans="1:13" x14ac:dyDescent="0.45">
      <c r="A51" s="16" t="s">
        <v>21</v>
      </c>
      <c r="B51" s="16">
        <v>2024</v>
      </c>
      <c r="C51" s="2">
        <v>4367.09</v>
      </c>
      <c r="D51" s="21">
        <v>647</v>
      </c>
      <c r="E51" s="7">
        <f>2524+3881+2031+2566</f>
        <v>11002</v>
      </c>
      <c r="F51" s="5">
        <v>39.65</v>
      </c>
      <c r="G51" s="14">
        <v>395</v>
      </c>
      <c r="H51" s="11"/>
      <c r="I51">
        <f t="shared" si="5"/>
        <v>8.3818521623870037</v>
      </c>
      <c r="J51">
        <f t="shared" si="6"/>
        <v>6.4723462945009009</v>
      </c>
      <c r="K51">
        <f t="shared" si="7"/>
        <v>9.3058323534354042</v>
      </c>
      <c r="L51">
        <f t="shared" si="8"/>
        <v>3.6800909480808568</v>
      </c>
      <c r="M51">
        <f t="shared" si="9"/>
        <v>5.978885764901122</v>
      </c>
    </row>
    <row r="52" spans="1:13" x14ac:dyDescent="0.45">
      <c r="A52" s="16" t="s">
        <v>22</v>
      </c>
      <c r="B52" s="16">
        <v>2020</v>
      </c>
      <c r="C52" s="1">
        <v>10076.67</v>
      </c>
      <c r="D52" s="19">
        <v>724</v>
      </c>
      <c r="E52" s="7">
        <f>187+196+1267+1340</f>
        <v>2990</v>
      </c>
      <c r="F52" s="5">
        <f>+C52/337</f>
        <v>29.901097922848663</v>
      </c>
      <c r="G52" s="14">
        <v>230.45</v>
      </c>
      <c r="H52" s="11"/>
      <c r="I52">
        <f t="shared" si="5"/>
        <v>9.2179781299025603</v>
      </c>
      <c r="J52">
        <f t="shared" si="6"/>
        <v>6.584791392385716</v>
      </c>
      <c r="K52">
        <f t="shared" si="7"/>
        <v>8.0030286663847328</v>
      </c>
      <c r="L52">
        <f t="shared" si="8"/>
        <v>3.3978951995501987</v>
      </c>
      <c r="M52">
        <f t="shared" si="9"/>
        <v>5.4400339191665168</v>
      </c>
    </row>
    <row r="53" spans="1:13" x14ac:dyDescent="0.45">
      <c r="A53" s="16" t="s">
        <v>22</v>
      </c>
      <c r="B53" s="16">
        <v>2021</v>
      </c>
      <c r="C53" s="1">
        <v>11076.26</v>
      </c>
      <c r="D53" s="20">
        <v>679.79</v>
      </c>
      <c r="E53" s="7">
        <f>174+190+1183+1256</f>
        <v>2803</v>
      </c>
      <c r="F53" s="5">
        <v>32.869999999999997</v>
      </c>
      <c r="G53" s="14">
        <v>169.89</v>
      </c>
      <c r="H53" s="11"/>
      <c r="I53">
        <f t="shared" si="5"/>
        <v>9.3125593581937416</v>
      </c>
      <c r="J53">
        <f t="shared" si="6"/>
        <v>6.5217839269449343</v>
      </c>
      <c r="K53">
        <f t="shared" si="7"/>
        <v>7.9384455511647882</v>
      </c>
      <c r="L53">
        <f t="shared" si="8"/>
        <v>3.4925603876761278</v>
      </c>
      <c r="M53">
        <f t="shared" si="9"/>
        <v>5.1351511687938229</v>
      </c>
    </row>
    <row r="54" spans="1:13" x14ac:dyDescent="0.45">
      <c r="A54" s="16" t="s">
        <v>22</v>
      </c>
      <c r="B54" s="16">
        <v>2022</v>
      </c>
      <c r="C54" s="1">
        <v>11376.26</v>
      </c>
      <c r="D54" s="20">
        <v>680</v>
      </c>
      <c r="E54" s="7">
        <f>163+185+1149+1205</f>
        <v>2702</v>
      </c>
      <c r="F54" s="5">
        <v>44.28</v>
      </c>
      <c r="G54" s="14">
        <v>245</v>
      </c>
      <c r="H54" s="11"/>
      <c r="I54">
        <f t="shared" si="5"/>
        <v>9.339284006915463</v>
      </c>
      <c r="J54">
        <f t="shared" si="6"/>
        <v>6.522092798170152</v>
      </c>
      <c r="K54">
        <f t="shared" si="7"/>
        <v>7.9017475185201445</v>
      </c>
      <c r="L54">
        <f t="shared" si="8"/>
        <v>3.7905331078404361</v>
      </c>
      <c r="M54">
        <f t="shared" si="9"/>
        <v>5.5012582105447274</v>
      </c>
    </row>
    <row r="55" spans="1:13" x14ac:dyDescent="0.45">
      <c r="A55" s="16" t="s">
        <v>22</v>
      </c>
      <c r="B55" s="16">
        <v>2023</v>
      </c>
      <c r="C55" s="1">
        <v>10060.31</v>
      </c>
      <c r="D55" s="21">
        <v>643.67999999999995</v>
      </c>
      <c r="E55" s="7">
        <f>163+182+1122+1180</f>
        <v>2647</v>
      </c>
      <c r="F55" s="5">
        <v>40.42</v>
      </c>
      <c r="G55" s="14">
        <v>204.70099999999999</v>
      </c>
      <c r="H55" s="11"/>
      <c r="I55">
        <f t="shared" si="5"/>
        <v>9.216353258288299</v>
      </c>
      <c r="J55">
        <f t="shared" si="6"/>
        <v>6.4672017082014781</v>
      </c>
      <c r="K55">
        <f t="shared" si="7"/>
        <v>7.8811822022271016</v>
      </c>
      <c r="L55">
        <f t="shared" si="8"/>
        <v>3.6993247119754749</v>
      </c>
      <c r="M55">
        <f t="shared" si="9"/>
        <v>5.3215503778531614</v>
      </c>
    </row>
    <row r="56" spans="1:13" x14ac:dyDescent="0.45">
      <c r="A56" s="16" t="s">
        <v>22</v>
      </c>
      <c r="B56" s="16">
        <v>2024</v>
      </c>
      <c r="C56" s="2">
        <v>9974.7800000000007</v>
      </c>
      <c r="D56" s="21">
        <v>643.6</v>
      </c>
      <c r="E56" s="7">
        <f>163+180+1092+1129</f>
        <v>2564</v>
      </c>
      <c r="F56" s="5">
        <v>47.1</v>
      </c>
      <c r="G56" s="14">
        <v>235</v>
      </c>
      <c r="H56" s="11"/>
      <c r="I56">
        <f t="shared" si="5"/>
        <v>9.207815186377001</v>
      </c>
      <c r="J56">
        <f t="shared" si="6"/>
        <v>6.4670774151182284</v>
      </c>
      <c r="K56">
        <f t="shared" si="7"/>
        <v>7.8493238180405607</v>
      </c>
      <c r="L56">
        <f t="shared" si="8"/>
        <v>3.8522730010223722</v>
      </c>
      <c r="M56">
        <f t="shared" si="9"/>
        <v>5.4595855141441589</v>
      </c>
    </row>
    <row r="57" spans="1:13" x14ac:dyDescent="0.45">
      <c r="A57" s="16" t="s">
        <v>23</v>
      </c>
      <c r="B57" s="16">
        <v>2020</v>
      </c>
      <c r="C57" s="1">
        <v>9546.25</v>
      </c>
      <c r="D57" s="19">
        <v>1084</v>
      </c>
      <c r="E57" s="7">
        <f>514+496+2245+2304</f>
        <v>5559</v>
      </c>
      <c r="F57" s="5">
        <f>+C57/196</f>
        <v>48.705357142857146</v>
      </c>
      <c r="G57" s="14">
        <v>437.33</v>
      </c>
      <c r="H57" s="11"/>
      <c r="I57">
        <f t="shared" si="5"/>
        <v>9.1639036862025947</v>
      </c>
      <c r="J57">
        <f t="shared" si="6"/>
        <v>6.9884131819995918</v>
      </c>
      <c r="K57">
        <f t="shared" si="7"/>
        <v>8.6231735149534696</v>
      </c>
      <c r="L57">
        <f t="shared" si="8"/>
        <v>3.8857890269720765</v>
      </c>
      <c r="M57">
        <f t="shared" si="9"/>
        <v>6.0806880588556576</v>
      </c>
    </row>
    <row r="58" spans="1:13" x14ac:dyDescent="0.45">
      <c r="A58" s="16" t="s">
        <v>23</v>
      </c>
      <c r="B58" s="16">
        <v>2021</v>
      </c>
      <c r="C58" s="1">
        <v>9846.58</v>
      </c>
      <c r="D58" s="20">
        <v>1005.08</v>
      </c>
      <c r="E58" s="7">
        <f>492+485+2150+2226</f>
        <v>5353</v>
      </c>
      <c r="F58" s="5">
        <v>50.16</v>
      </c>
      <c r="G58" s="14">
        <v>338.45</v>
      </c>
      <c r="H58" s="11"/>
      <c r="I58">
        <f t="shared" si="5"/>
        <v>9.1948794657536119</v>
      </c>
      <c r="J58">
        <f t="shared" si="6"/>
        <v>6.9128224193151553</v>
      </c>
      <c r="K58">
        <f t="shared" si="7"/>
        <v>8.5854124303933812</v>
      </c>
      <c r="L58">
        <f t="shared" si="8"/>
        <v>3.9152178963246653</v>
      </c>
      <c r="M58">
        <f t="shared" si="9"/>
        <v>5.8243763709546164</v>
      </c>
    </row>
    <row r="59" spans="1:13" x14ac:dyDescent="0.45">
      <c r="A59" s="16" t="s">
        <v>23</v>
      </c>
      <c r="B59" s="16">
        <v>2022</v>
      </c>
      <c r="C59" s="1">
        <v>9876.58</v>
      </c>
      <c r="D59" s="20">
        <v>1005</v>
      </c>
      <c r="E59" s="7">
        <f>475+473+2096+2164</f>
        <v>5208</v>
      </c>
      <c r="F59" s="5">
        <v>38.17</v>
      </c>
      <c r="G59" s="14">
        <v>352.05500000000001</v>
      </c>
      <c r="H59" s="11"/>
      <c r="I59">
        <f t="shared" si="5"/>
        <v>9.1979215769706872</v>
      </c>
      <c r="J59">
        <f t="shared" si="6"/>
        <v>6.9127428204931762</v>
      </c>
      <c r="K59">
        <f t="shared" si="7"/>
        <v>8.5579511838884059</v>
      </c>
      <c r="L59">
        <f t="shared" si="8"/>
        <v>3.6420498667571386</v>
      </c>
      <c r="M59">
        <f t="shared" si="9"/>
        <v>5.8637874133923376</v>
      </c>
    </row>
    <row r="60" spans="1:13" x14ac:dyDescent="0.45">
      <c r="A60" s="16" t="s">
        <v>23</v>
      </c>
      <c r="B60" s="16">
        <v>2023</v>
      </c>
      <c r="C60" s="1">
        <v>9604.83</v>
      </c>
      <c r="D60" s="21">
        <v>952.57</v>
      </c>
      <c r="E60" s="7">
        <f>470+462+2051+2099</f>
        <v>5082</v>
      </c>
      <c r="F60" s="5">
        <v>37.53</v>
      </c>
      <c r="G60" s="14">
        <v>306.49400000000003</v>
      </c>
      <c r="H60" s="11"/>
      <c r="I60">
        <f t="shared" si="5"/>
        <v>9.1700213759309808</v>
      </c>
      <c r="J60">
        <f t="shared" si="6"/>
        <v>6.8591635951141869</v>
      </c>
      <c r="K60">
        <f t="shared" si="7"/>
        <v>8.5334601638801093</v>
      </c>
      <c r="L60">
        <f t="shared" si="8"/>
        <v>3.6251406131469297</v>
      </c>
      <c r="M60">
        <f t="shared" si="9"/>
        <v>5.7251981793282125</v>
      </c>
    </row>
    <row r="61" spans="1:13" x14ac:dyDescent="0.45">
      <c r="A61" s="16" t="s">
        <v>23</v>
      </c>
      <c r="B61" s="16">
        <v>2024</v>
      </c>
      <c r="C61" s="2">
        <v>8691.69</v>
      </c>
      <c r="D61" s="21">
        <v>952.6</v>
      </c>
      <c r="E61" s="7">
        <f>459+449+1996+2054</f>
        <v>4958</v>
      </c>
      <c r="F61" s="5">
        <v>44.3</v>
      </c>
      <c r="G61" s="14">
        <v>436</v>
      </c>
      <c r="H61" s="11"/>
      <c r="I61">
        <f t="shared" si="5"/>
        <v>9.0701226757610183</v>
      </c>
      <c r="J61">
        <f t="shared" si="6"/>
        <v>6.8591950883667598</v>
      </c>
      <c r="K61">
        <f t="shared" si="7"/>
        <v>8.5087577125951359</v>
      </c>
      <c r="L61">
        <f t="shared" si="8"/>
        <v>3.7909846770510898</v>
      </c>
      <c r="M61">
        <f t="shared" si="9"/>
        <v>6.0776422433490342</v>
      </c>
    </row>
    <row r="62" spans="1:13" x14ac:dyDescent="0.45">
      <c r="A62" s="16" t="s">
        <v>24</v>
      </c>
      <c r="B62" s="16">
        <v>2020</v>
      </c>
      <c r="C62" s="1">
        <v>13275.34</v>
      </c>
      <c r="D62" s="19">
        <v>873.3</v>
      </c>
      <c r="E62" s="7">
        <f>203+144+1062+1139</f>
        <v>2548</v>
      </c>
      <c r="F62" s="5">
        <f>+C62/299</f>
        <v>44.399130434782606</v>
      </c>
      <c r="G62" s="14">
        <v>116.75</v>
      </c>
      <c r="H62" s="11"/>
      <c r="I62">
        <f t="shared" si="5"/>
        <v>9.493663457834888</v>
      </c>
      <c r="J62">
        <f t="shared" si="6"/>
        <v>6.7722791394196875</v>
      </c>
      <c r="K62">
        <f t="shared" si="7"/>
        <v>7.843064016692054</v>
      </c>
      <c r="L62">
        <f t="shared" si="8"/>
        <v>3.7932198844442007</v>
      </c>
      <c r="M62">
        <f t="shared" si="9"/>
        <v>4.7600348965490067</v>
      </c>
    </row>
    <row r="63" spans="1:13" x14ac:dyDescent="0.45">
      <c r="A63" s="16" t="s">
        <v>24</v>
      </c>
      <c r="B63" s="16">
        <v>2021</v>
      </c>
      <c r="C63" s="1">
        <v>14275.53</v>
      </c>
      <c r="D63" s="20">
        <v>825.15</v>
      </c>
      <c r="E63" s="7">
        <f>196+139+946+1043</f>
        <v>2324</v>
      </c>
      <c r="F63" s="5">
        <v>47.61</v>
      </c>
      <c r="G63" s="14">
        <v>172.45</v>
      </c>
      <c r="H63" s="11"/>
      <c r="I63">
        <f t="shared" si="5"/>
        <v>9.5663021616808734</v>
      </c>
      <c r="J63">
        <f t="shared" si="6"/>
        <v>6.7155651879895766</v>
      </c>
      <c r="K63">
        <f t="shared" si="7"/>
        <v>7.7510451179718016</v>
      </c>
      <c r="L63">
        <f t="shared" si="8"/>
        <v>3.8630428232064276</v>
      </c>
      <c r="M63">
        <f t="shared" si="9"/>
        <v>5.15010733938285</v>
      </c>
    </row>
    <row r="64" spans="1:13" x14ac:dyDescent="0.45">
      <c r="A64" s="16" t="s">
        <v>24</v>
      </c>
      <c r="B64" s="16">
        <v>2022</v>
      </c>
      <c r="C64" s="1">
        <v>14303.53</v>
      </c>
      <c r="D64" s="20">
        <v>825</v>
      </c>
      <c r="E64" s="7">
        <f>187+143+895+979</f>
        <v>2204</v>
      </c>
      <c r="F64" s="5">
        <v>54.61</v>
      </c>
      <c r="G64" s="14">
        <v>210</v>
      </c>
      <c r="H64" s="11"/>
      <c r="I64">
        <f t="shared" si="5"/>
        <v>9.5682616389316273</v>
      </c>
      <c r="J64">
        <f t="shared" si="6"/>
        <v>6.7153833863346808</v>
      </c>
      <c r="K64">
        <f t="shared" si="7"/>
        <v>7.6980291702728048</v>
      </c>
      <c r="L64">
        <f t="shared" si="8"/>
        <v>4.0002170161640622</v>
      </c>
      <c r="M64">
        <f t="shared" si="9"/>
        <v>5.3471075307174685</v>
      </c>
    </row>
    <row r="65" spans="1:13" x14ac:dyDescent="0.45">
      <c r="A65" s="16" t="s">
        <v>24</v>
      </c>
      <c r="B65" s="16">
        <v>2023</v>
      </c>
      <c r="C65" s="1">
        <v>11535.51</v>
      </c>
      <c r="D65" s="21">
        <v>727.17</v>
      </c>
      <c r="E65" s="7">
        <f>177+136+836+902</f>
        <v>2051</v>
      </c>
      <c r="F65" s="5">
        <v>44.79</v>
      </c>
      <c r="G65" s="14">
        <v>186.084</v>
      </c>
      <c r="H65" s="11"/>
      <c r="I65">
        <f t="shared" si="5"/>
        <v>9.3531853828944556</v>
      </c>
      <c r="J65">
        <f t="shared" si="6"/>
        <v>6.589160287886882</v>
      </c>
      <c r="K65">
        <f t="shared" si="7"/>
        <v>7.6260827580723802</v>
      </c>
      <c r="L65">
        <f t="shared" si="8"/>
        <v>3.8019849002192085</v>
      </c>
      <c r="M65">
        <f t="shared" si="9"/>
        <v>5.2261981846700118</v>
      </c>
    </row>
    <row r="66" spans="1:13" x14ac:dyDescent="0.45">
      <c r="A66" s="16" t="s">
        <v>24</v>
      </c>
      <c r="B66" s="16">
        <v>2024</v>
      </c>
      <c r="C66" s="2">
        <v>13704.19</v>
      </c>
      <c r="D66" s="21">
        <v>727.2</v>
      </c>
      <c r="E66" s="7">
        <f>189+133+791+851</f>
        <v>1964</v>
      </c>
      <c r="F66" s="5">
        <v>57.13</v>
      </c>
      <c r="G66" s="14">
        <v>250</v>
      </c>
      <c r="H66" s="11"/>
      <c r="I66">
        <f t="shared" ref="I66:I86" si="10">LN(C66)</f>
        <v>9.525456904472934</v>
      </c>
      <c r="J66">
        <f t="shared" ref="J66:J86" si="11">LN(D66)</f>
        <v>6.5892015428632691</v>
      </c>
      <c r="K66">
        <f t="shared" ref="K66:K86" si="12">LN(E66)</f>
        <v>7.5827384889144112</v>
      </c>
      <c r="L66">
        <f t="shared" ref="L66:L86" si="13">LN(F66)</f>
        <v>4.0453293727363713</v>
      </c>
      <c r="M66">
        <f t="shared" ref="M66:M86" si="14">LN(G66)</f>
        <v>5.521460917862246</v>
      </c>
    </row>
    <row r="67" spans="1:13" x14ac:dyDescent="0.45">
      <c r="A67" s="16" t="s">
        <v>25</v>
      </c>
      <c r="B67" s="16">
        <v>2020</v>
      </c>
      <c r="C67" s="1">
        <v>19013.28</v>
      </c>
      <c r="D67" s="19">
        <v>1150</v>
      </c>
      <c r="E67" s="7">
        <f>132+68+6179+5244</f>
        <v>11623</v>
      </c>
      <c r="F67" s="5">
        <f>+C67/265</f>
        <v>71.748226415094337</v>
      </c>
      <c r="G67" s="14">
        <v>530.39</v>
      </c>
      <c r="H67" s="11"/>
      <c r="I67">
        <f t="shared" si="10"/>
        <v>9.8528929613670453</v>
      </c>
      <c r="J67">
        <f t="shared" si="11"/>
        <v>7.0475172213572961</v>
      </c>
      <c r="K67">
        <f t="shared" si="12"/>
        <v>9.3607411726437082</v>
      </c>
      <c r="L67">
        <f t="shared" si="13"/>
        <v>4.2731631353808233</v>
      </c>
      <c r="M67">
        <f t="shared" si="14"/>
        <v>6.2736125849985953</v>
      </c>
    </row>
    <row r="68" spans="1:13" x14ac:dyDescent="0.45">
      <c r="A68" s="16" t="s">
        <v>25</v>
      </c>
      <c r="B68" s="16">
        <v>2021</v>
      </c>
      <c r="C68" s="1">
        <v>20013.599999999999</v>
      </c>
      <c r="D68" s="20">
        <v>1121.8599999999999</v>
      </c>
      <c r="E68" s="7">
        <f>131+65+5868+5022</f>
        <v>11086</v>
      </c>
      <c r="F68" s="5">
        <v>75.489999999999995</v>
      </c>
      <c r="G68" s="14">
        <v>333.44</v>
      </c>
      <c r="H68" s="11"/>
      <c r="I68">
        <f t="shared" si="10"/>
        <v>9.9041673214408856</v>
      </c>
      <c r="J68">
        <f t="shared" si="11"/>
        <v>7.0227433011137208</v>
      </c>
      <c r="K68">
        <f t="shared" si="12"/>
        <v>9.3134383299797499</v>
      </c>
      <c r="L68">
        <f t="shared" si="13"/>
        <v>4.3240001971515332</v>
      </c>
      <c r="M68">
        <f t="shared" si="14"/>
        <v>5.8094629391249475</v>
      </c>
    </row>
    <row r="69" spans="1:13" x14ac:dyDescent="0.45">
      <c r="A69" s="16" t="s">
        <v>25</v>
      </c>
      <c r="B69" s="16">
        <v>2022</v>
      </c>
      <c r="C69" s="1">
        <v>20213.599999999999</v>
      </c>
      <c r="D69" s="20">
        <v>1121.72</v>
      </c>
      <c r="E69" s="7">
        <f>132+60+5613+4811</f>
        <v>10616</v>
      </c>
      <c r="F69" s="5">
        <v>75.25</v>
      </c>
      <c r="G69" s="14">
        <v>390.5</v>
      </c>
      <c r="H69" s="11"/>
      <c r="I69">
        <f t="shared" si="10"/>
        <v>9.9141109241732597</v>
      </c>
      <c r="J69">
        <f t="shared" si="11"/>
        <v>7.0226185005715678</v>
      </c>
      <c r="K69">
        <f t="shared" si="12"/>
        <v>9.2701175760120442</v>
      </c>
      <c r="L69">
        <f t="shared" si="13"/>
        <v>4.3208159036289855</v>
      </c>
      <c r="M69">
        <f t="shared" si="14"/>
        <v>5.9674279692797407</v>
      </c>
    </row>
    <row r="70" spans="1:13" x14ac:dyDescent="0.45">
      <c r="A70" s="16" t="s">
        <v>25</v>
      </c>
      <c r="B70" s="16">
        <v>2023</v>
      </c>
      <c r="C70" s="1">
        <v>21480.73</v>
      </c>
      <c r="D70" s="21">
        <v>1072.44</v>
      </c>
      <c r="E70" s="7">
        <f>129+62+5449+4685</f>
        <v>10325</v>
      </c>
      <c r="F70" s="5">
        <v>82.67</v>
      </c>
      <c r="G70" s="14">
        <v>303.62299999999999</v>
      </c>
      <c r="H70" s="11"/>
      <c r="I70">
        <f t="shared" si="10"/>
        <v>9.9749115331477416</v>
      </c>
      <c r="J70">
        <f t="shared" si="11"/>
        <v>6.977691705181301</v>
      </c>
      <c r="K70">
        <f t="shared" si="12"/>
        <v>9.2423234178292333</v>
      </c>
      <c r="L70">
        <f t="shared" si="13"/>
        <v>4.4148567792645839</v>
      </c>
      <c r="M70">
        <f t="shared" si="14"/>
        <v>5.7157868002277725</v>
      </c>
    </row>
    <row r="71" spans="1:13" x14ac:dyDescent="0.45">
      <c r="A71" s="16" t="s">
        <v>25</v>
      </c>
      <c r="B71" s="16">
        <v>2024</v>
      </c>
      <c r="C71" s="2">
        <v>18015.13</v>
      </c>
      <c r="D71" s="21">
        <v>1072</v>
      </c>
      <c r="E71" s="7">
        <f>140+65+5291+4521</f>
        <v>10017</v>
      </c>
      <c r="F71" s="5">
        <v>65.650000000000006</v>
      </c>
      <c r="G71" s="14">
        <v>443</v>
      </c>
      <c r="H71" s="11"/>
      <c r="I71">
        <f t="shared" si="10"/>
        <v>9.7989672393648721</v>
      </c>
      <c r="J71">
        <f t="shared" si="11"/>
        <v>6.9772813416307473</v>
      </c>
      <c r="K71">
        <f t="shared" si="12"/>
        <v>9.212038928611765</v>
      </c>
      <c r="L71">
        <f t="shared" si="13"/>
        <v>4.1843376007488056</v>
      </c>
      <c r="M71">
        <f t="shared" si="14"/>
        <v>6.0935697700451357</v>
      </c>
    </row>
    <row r="72" spans="1:13" x14ac:dyDescent="0.45">
      <c r="A72" s="16" t="s">
        <v>26</v>
      </c>
      <c r="B72" s="16">
        <v>2020</v>
      </c>
      <c r="C72" s="1">
        <v>6402.36</v>
      </c>
      <c r="D72" s="19">
        <v>698</v>
      </c>
      <c r="E72" s="7">
        <f>116+96+1651+1571</f>
        <v>3434</v>
      </c>
      <c r="F72" s="5">
        <f>+C72/236</f>
        <v>27.128644067796611</v>
      </c>
      <c r="G72" s="14">
        <v>209</v>
      </c>
      <c r="H72" s="12"/>
      <c r="I72">
        <f t="shared" si="10"/>
        <v>8.7644219513761907</v>
      </c>
      <c r="J72">
        <f t="shared" si="11"/>
        <v>6.5482191027623724</v>
      </c>
      <c r="K72">
        <f t="shared" si="12"/>
        <v>8.1414810414574212</v>
      </c>
      <c r="L72">
        <f t="shared" si="13"/>
        <v>3.3005901463505811</v>
      </c>
      <c r="M72">
        <f t="shared" si="14"/>
        <v>5.3423342519648109</v>
      </c>
    </row>
    <row r="73" spans="1:13" x14ac:dyDescent="0.45">
      <c r="A73" s="16" t="s">
        <v>26</v>
      </c>
      <c r="B73" s="16">
        <v>2021</v>
      </c>
      <c r="C73" s="1">
        <v>6442.42</v>
      </c>
      <c r="D73" s="20">
        <v>555.09</v>
      </c>
      <c r="E73" s="7">
        <f>111+92+1542+1444</f>
        <v>3189</v>
      </c>
      <c r="F73" s="5">
        <v>27.3</v>
      </c>
      <c r="G73" s="14">
        <v>113.86</v>
      </c>
      <c r="H73" s="12"/>
      <c r="I73">
        <f t="shared" si="10"/>
        <v>8.7706595249096466</v>
      </c>
      <c r="J73">
        <f t="shared" si="11"/>
        <v>6.3191302627617345</v>
      </c>
      <c r="K73">
        <f t="shared" si="12"/>
        <v>8.0674626670100569</v>
      </c>
      <c r="L73">
        <f t="shared" si="13"/>
        <v>3.3068867021909143</v>
      </c>
      <c r="M73">
        <f t="shared" si="14"/>
        <v>4.7349696235229359</v>
      </c>
    </row>
    <row r="74" spans="1:13" x14ac:dyDescent="0.45">
      <c r="A74" s="16" t="s">
        <v>26</v>
      </c>
      <c r="B74" s="16">
        <v>2022</v>
      </c>
      <c r="C74" s="1">
        <v>6446.42</v>
      </c>
      <c r="D74" s="20">
        <v>555</v>
      </c>
      <c r="E74" s="7">
        <f>105+88+1472+1380</f>
        <v>3045</v>
      </c>
      <c r="F74" s="5">
        <v>26.34</v>
      </c>
      <c r="G74" s="14">
        <v>160</v>
      </c>
      <c r="H74" s="11"/>
      <c r="I74">
        <f t="shared" si="10"/>
        <v>8.7712802169390951</v>
      </c>
      <c r="J74">
        <f t="shared" si="11"/>
        <v>6.3189681137464344</v>
      </c>
      <c r="K74">
        <f t="shared" si="12"/>
        <v>8.0212561801439968</v>
      </c>
      <c r="L74">
        <f t="shared" si="13"/>
        <v>3.2710886963151351</v>
      </c>
      <c r="M74">
        <f t="shared" si="14"/>
        <v>5.0751738152338266</v>
      </c>
    </row>
    <row r="75" spans="1:13" x14ac:dyDescent="0.45">
      <c r="A75" s="16" t="s">
        <v>26</v>
      </c>
      <c r="B75" s="16">
        <v>2023</v>
      </c>
      <c r="C75" s="1">
        <v>6546.13</v>
      </c>
      <c r="D75" s="21">
        <v>496.17</v>
      </c>
      <c r="E75" s="7">
        <f>99+87+1425+1329</f>
        <v>2940</v>
      </c>
      <c r="F75" s="5">
        <v>26.91</v>
      </c>
      <c r="G75" s="14">
        <v>127.85</v>
      </c>
      <c r="H75" s="11"/>
      <c r="I75">
        <f t="shared" si="10"/>
        <v>8.786629314320086</v>
      </c>
      <c r="J75">
        <f t="shared" si="11"/>
        <v>6.2069186099378113</v>
      </c>
      <c r="K75">
        <f t="shared" si="12"/>
        <v>7.9861648603327273</v>
      </c>
      <c r="L75">
        <f t="shared" si="13"/>
        <v>3.2924979647388146</v>
      </c>
      <c r="M75">
        <f t="shared" si="14"/>
        <v>4.8508577017371959</v>
      </c>
    </row>
    <row r="76" spans="1:13" x14ac:dyDescent="0.45">
      <c r="A76" s="16" t="s">
        <v>26</v>
      </c>
      <c r="B76" s="16">
        <v>2024</v>
      </c>
      <c r="C76" s="2">
        <v>6488.89</v>
      </c>
      <c r="D76" s="21">
        <v>496</v>
      </c>
      <c r="E76" s="7">
        <f>98+91+1376+1290</f>
        <v>2855</v>
      </c>
      <c r="F76" s="5">
        <v>31.68</v>
      </c>
      <c r="G76" s="14">
        <v>190</v>
      </c>
      <c r="H76" s="11"/>
      <c r="I76">
        <f t="shared" si="10"/>
        <v>8.7778467627129615</v>
      </c>
      <c r="J76">
        <f t="shared" si="11"/>
        <v>6.2065759267249279</v>
      </c>
      <c r="K76">
        <f t="shared" si="12"/>
        <v>7.956827122090111</v>
      </c>
      <c r="L76">
        <f t="shared" si="13"/>
        <v>3.455685566946225</v>
      </c>
      <c r="M76">
        <f t="shared" si="14"/>
        <v>5.2470240721604862</v>
      </c>
    </row>
    <row r="77" spans="1:13" x14ac:dyDescent="0.45">
      <c r="A77" s="16" t="s">
        <v>27</v>
      </c>
      <c r="B77" s="16">
        <v>2020</v>
      </c>
      <c r="C77" s="1">
        <v>2411.71</v>
      </c>
      <c r="D77" s="19">
        <v>301.89999999999998</v>
      </c>
      <c r="E77" s="7">
        <f>381+443+1540+1645</f>
        <v>4009</v>
      </c>
      <c r="F77" s="5">
        <f>+C77/282</f>
        <v>8.5521631205673767</v>
      </c>
      <c r="G77" s="14">
        <v>175.81</v>
      </c>
      <c r="H77" s="11"/>
      <c r="I77">
        <f t="shared" si="10"/>
        <v>7.7880913184461384</v>
      </c>
      <c r="J77">
        <f t="shared" si="11"/>
        <v>5.7100958367127932</v>
      </c>
      <c r="K77">
        <f t="shared" si="12"/>
        <v>8.2962971126425078</v>
      </c>
      <c r="L77">
        <f t="shared" si="13"/>
        <v>2.1461842475080246</v>
      </c>
      <c r="M77">
        <f t="shared" si="14"/>
        <v>5.1694038664546982</v>
      </c>
    </row>
    <row r="78" spans="1:13" x14ac:dyDescent="0.45">
      <c r="A78" s="16" t="s">
        <v>27</v>
      </c>
      <c r="B78" s="16">
        <v>2021</v>
      </c>
      <c r="C78" s="1">
        <v>3409.44</v>
      </c>
      <c r="D78" s="20">
        <v>304.91000000000003</v>
      </c>
      <c r="E78" s="7">
        <f>367+416+1485+1571</f>
        <v>3839</v>
      </c>
      <c r="F78" s="5">
        <v>12.07</v>
      </c>
      <c r="G78" s="14">
        <v>136.62</v>
      </c>
      <c r="H78" s="11"/>
      <c r="I78">
        <f t="shared" si="10"/>
        <v>8.1343033339176092</v>
      </c>
      <c r="J78">
        <f t="shared" si="11"/>
        <v>5.7200166510949488</v>
      </c>
      <c r="K78">
        <f t="shared" si="12"/>
        <v>8.2529671950007977</v>
      </c>
      <c r="L78">
        <f t="shared" si="13"/>
        <v>2.4907230351094403</v>
      </c>
      <c r="M78">
        <f t="shared" si="14"/>
        <v>4.9172033493037031</v>
      </c>
    </row>
    <row r="79" spans="1:13" x14ac:dyDescent="0.45">
      <c r="A79" s="16" t="s">
        <v>27</v>
      </c>
      <c r="B79" s="16">
        <v>2022</v>
      </c>
      <c r="C79" s="1">
        <v>3410.47</v>
      </c>
      <c r="D79" s="20">
        <v>302</v>
      </c>
      <c r="E79" s="7">
        <f>346+391+1412+1500</f>
        <v>3649</v>
      </c>
      <c r="F79" s="5">
        <v>13.44</v>
      </c>
      <c r="G79" s="14">
        <v>176.00299999999999</v>
      </c>
      <c r="H79" s="11"/>
      <c r="I79">
        <f t="shared" si="10"/>
        <v>8.1346053906919167</v>
      </c>
      <c r="J79">
        <f t="shared" si="11"/>
        <v>5.7104270173748697</v>
      </c>
      <c r="K79">
        <f t="shared" si="12"/>
        <v>8.2022084364364485</v>
      </c>
      <c r="L79">
        <f t="shared" si="13"/>
        <v>2.5982353350950036</v>
      </c>
      <c r="M79">
        <f t="shared" si="14"/>
        <v>5.1705010403474247</v>
      </c>
    </row>
    <row r="80" spans="1:13" x14ac:dyDescent="0.45">
      <c r="A80" s="16" t="s">
        <v>27</v>
      </c>
      <c r="B80" s="16">
        <v>2023</v>
      </c>
      <c r="C80" s="1">
        <v>2885.49</v>
      </c>
      <c r="D80" s="21">
        <v>283.69</v>
      </c>
      <c r="E80" s="7">
        <f>344+383+1383+1462</f>
        <v>3572</v>
      </c>
      <c r="F80" s="5">
        <v>11.42</v>
      </c>
      <c r="G80" s="14">
        <v>115.834</v>
      </c>
      <c r="H80" s="11"/>
      <c r="I80">
        <f t="shared" si="10"/>
        <v>7.9674500085411344</v>
      </c>
      <c r="J80">
        <f t="shared" si="11"/>
        <v>5.6478820926916242</v>
      </c>
      <c r="K80">
        <f t="shared" si="12"/>
        <v>8.1808809419963904</v>
      </c>
      <c r="L80">
        <f t="shared" si="13"/>
        <v>2.4353662042278641</v>
      </c>
      <c r="M80">
        <f t="shared" si="14"/>
        <v>4.7521581317158583</v>
      </c>
    </row>
    <row r="81" spans="1:13" x14ac:dyDescent="0.45">
      <c r="A81" s="16" t="s">
        <v>27</v>
      </c>
      <c r="B81" s="16">
        <v>2024</v>
      </c>
      <c r="C81" s="2">
        <v>2246</v>
      </c>
      <c r="D81" s="21">
        <v>283.7</v>
      </c>
      <c r="E81" s="7">
        <f>340+375+1368+1433</f>
        <v>3516</v>
      </c>
      <c r="F81" s="5">
        <v>12.88</v>
      </c>
      <c r="G81" s="14">
        <v>185</v>
      </c>
      <c r="H81" s="11"/>
      <c r="I81">
        <f t="shared" si="10"/>
        <v>7.7169061352983883</v>
      </c>
      <c r="J81">
        <f t="shared" si="11"/>
        <v>5.6479173418148054</v>
      </c>
      <c r="K81">
        <f t="shared" si="12"/>
        <v>8.1650792588050685</v>
      </c>
      <c r="L81">
        <f t="shared" si="13"/>
        <v>2.5556757206762075</v>
      </c>
      <c r="M81">
        <f t="shared" si="14"/>
        <v>5.2203558250783244</v>
      </c>
    </row>
    <row r="82" spans="1:13" x14ac:dyDescent="0.45">
      <c r="A82" s="16" t="s">
        <v>28</v>
      </c>
      <c r="B82" s="16">
        <v>2020</v>
      </c>
      <c r="C82" s="1">
        <v>10909.37</v>
      </c>
      <c r="D82" s="19">
        <v>843.3</v>
      </c>
      <c r="E82" s="7">
        <f>173+131+3855+3871</f>
        <v>8030</v>
      </c>
      <c r="F82" s="5">
        <f>+C82/253</f>
        <v>43.120039525691702</v>
      </c>
      <c r="G82" s="14">
        <v>237.25</v>
      </c>
      <c r="H82" s="11"/>
      <c r="I82">
        <f t="shared" si="10"/>
        <v>9.297377331971898</v>
      </c>
      <c r="J82">
        <f t="shared" si="11"/>
        <v>6.7373227665805961</v>
      </c>
      <c r="K82">
        <f t="shared" si="12"/>
        <v>8.9909398069408066</v>
      </c>
      <c r="L82">
        <f t="shared" si="13"/>
        <v>3.7639878432443776</v>
      </c>
      <c r="M82">
        <f t="shared" si="14"/>
        <v>5.4691144374900373</v>
      </c>
    </row>
    <row r="83" spans="1:13" x14ac:dyDescent="0.45">
      <c r="A83" s="16" t="s">
        <v>28</v>
      </c>
      <c r="B83" s="16">
        <v>2021</v>
      </c>
      <c r="C83" s="1">
        <v>10909.23</v>
      </c>
      <c r="D83" s="20">
        <v>869.25</v>
      </c>
      <c r="E83" s="7">
        <f>170+126+3697+3720</f>
        <v>7713</v>
      </c>
      <c r="F83" s="5">
        <v>43.08</v>
      </c>
      <c r="G83" s="14">
        <v>160.63999999999999</v>
      </c>
      <c r="H83" s="11"/>
      <c r="I83">
        <f t="shared" si="10"/>
        <v>9.2973644988845319</v>
      </c>
      <c r="J83">
        <f t="shared" si="11"/>
        <v>6.7676307708879708</v>
      </c>
      <c r="K83">
        <f t="shared" si="12"/>
        <v>8.9506624959339991</v>
      </c>
      <c r="L83">
        <f t="shared" si="13"/>
        <v>3.7630588522881876</v>
      </c>
      <c r="M83">
        <f t="shared" si="14"/>
        <v>5.0791658365033641</v>
      </c>
    </row>
    <row r="84" spans="1:13" x14ac:dyDescent="0.45">
      <c r="A84" s="16" t="s">
        <v>28</v>
      </c>
      <c r="B84" s="16">
        <v>2022</v>
      </c>
      <c r="C84" s="1">
        <v>10913.43</v>
      </c>
      <c r="D84" s="20">
        <v>869</v>
      </c>
      <c r="E84" s="7">
        <f>182+133+3590+3628</f>
        <v>7533</v>
      </c>
      <c r="F84" s="5">
        <v>42.09</v>
      </c>
      <c r="G84" s="14">
        <v>215</v>
      </c>
      <c r="H84" s="11"/>
      <c r="I84">
        <f t="shared" si="10"/>
        <v>9.2977494198842496</v>
      </c>
      <c r="J84">
        <f t="shared" si="11"/>
        <v>6.7673431252653922</v>
      </c>
      <c r="K84">
        <f t="shared" si="12"/>
        <v>8.9270486478256945</v>
      </c>
      <c r="L84">
        <f t="shared" si="13"/>
        <v>3.7398101827824792</v>
      </c>
      <c r="M84">
        <f t="shared" si="14"/>
        <v>5.3706380281276624</v>
      </c>
    </row>
    <row r="85" spans="1:13" x14ac:dyDescent="0.45">
      <c r="A85" s="16" t="s">
        <v>28</v>
      </c>
      <c r="B85" s="16">
        <v>2023</v>
      </c>
      <c r="C85" s="1">
        <v>10641.14</v>
      </c>
      <c r="D85" s="21">
        <v>835.92</v>
      </c>
      <c r="E85" s="7">
        <f>185+137+3503+3541</f>
        <v>7366</v>
      </c>
      <c r="F85" s="5">
        <v>41.68</v>
      </c>
      <c r="G85" s="14">
        <v>138.935</v>
      </c>
      <c r="H85" s="11"/>
      <c r="I85">
        <f t="shared" si="10"/>
        <v>9.2724829000133919</v>
      </c>
      <c r="J85">
        <f t="shared" si="11"/>
        <v>6.7285329147258555</v>
      </c>
      <c r="K85">
        <f t="shared" si="12"/>
        <v>8.9046300970050112</v>
      </c>
      <c r="L85">
        <f t="shared" si="13"/>
        <v>3.7300213974451113</v>
      </c>
      <c r="M85">
        <f t="shared" si="14"/>
        <v>4.9340061978603229</v>
      </c>
    </row>
    <row r="86" spans="1:13" x14ac:dyDescent="0.45">
      <c r="A86" s="16" t="s">
        <v>28</v>
      </c>
      <c r="B86" s="16">
        <v>2024</v>
      </c>
      <c r="C86" s="2">
        <v>8961.93</v>
      </c>
      <c r="D86" s="21">
        <v>835.9</v>
      </c>
      <c r="E86" s="7">
        <f>187+135+3413+3452</f>
        <v>7187</v>
      </c>
      <c r="F86" s="5">
        <v>42.4</v>
      </c>
      <c r="G86" s="14">
        <v>180</v>
      </c>
      <c r="H86" s="11"/>
      <c r="I86">
        <f t="shared" si="10"/>
        <v>9.1007408845590572</v>
      </c>
      <c r="J86">
        <f t="shared" si="11"/>
        <v>6.7285089887051104</v>
      </c>
      <c r="K86">
        <f t="shared" si="12"/>
        <v>8.8800291174684425</v>
      </c>
      <c r="L86">
        <f t="shared" si="13"/>
        <v>3.7471483622379123</v>
      </c>
      <c r="M86">
        <f t="shared" si="14"/>
        <v>5.1929568508902104</v>
      </c>
    </row>
    <row r="87" spans="1:13" x14ac:dyDescent="0.45">
      <c r="G87" s="14"/>
      <c r="H87" s="11"/>
      <c r="J87" s="15"/>
      <c r="K87" s="15"/>
      <c r="L87" s="15"/>
      <c r="M87" s="15"/>
    </row>
    <row r="88" spans="1:13" x14ac:dyDescent="0.45">
      <c r="G88" s="14"/>
      <c r="H88" s="11"/>
      <c r="J88" s="15"/>
      <c r="K88" s="15"/>
      <c r="L88" s="15"/>
      <c r="M88" s="1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Stata Sempro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Juli Yandi Rahman</cp:lastModifiedBy>
  <dcterms:created xsi:type="dcterms:W3CDTF">2025-09-10T00:11:20Z</dcterms:created>
  <dcterms:modified xsi:type="dcterms:W3CDTF">2025-12-02T06:48:38Z</dcterms:modified>
</cp:coreProperties>
</file>